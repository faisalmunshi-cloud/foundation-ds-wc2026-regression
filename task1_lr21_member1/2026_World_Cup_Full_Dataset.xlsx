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11.xml.rels" ContentType="application/vnd.openxmlformats-package.relationships+xml"/>
  <Override PartName="/xl/worksheets/_rels/sheet5.xml.rels" ContentType="application/vnd.openxmlformats-package.relationships+xml"/>
  <Override PartName="/xl/worksheets/_rels/sheet1.xml.rels" ContentType="application/vnd.openxmlformats-package.relationship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_rels/drawing3.xml.rels" ContentType="application/vnd.openxmlformats-package.relationships+xml"/>
  <Override PartName="/xl/drawings/drawing3.xml" ContentType="application/vnd.openxmlformats-officedocument.drawing+xml"/>
  <Override PartName="/xl/_rels/workbook.xml.rels" ContentType="application/vnd.openxmlformats-package.relationships+xml"/>
  <Override PartName="/xl/media/image1.png" ContentType="image/png"/>
  <Override PartName="/xl/media/image2.png" ContentType="image/png"/>
  <Override PartName="/xl/media/image3.png" ContentType="image/png"/>
  <Override PartName="/xl/media/image4.png" ContentType="image/png"/>
  <Override PartName="/xl/media/image5.png" ContentType="image/p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ll Matches" sheetId="1" state="visible" r:id="rId3"/>
    <sheet name="Group Standings" sheetId="2" state="visible" r:id="rId4"/>
    <sheet name="Knockout Bracket" sheetId="3" state="visible" r:id="rId5"/>
    <sheet name="Sources &amp; Methodology" sheetId="4" state="visible" r:id="rId6"/>
    <sheet name="LR2.1 Dataset" sheetId="5" state="visible" r:id="rId7"/>
    <sheet name="LR2.1 Feature Documentation" sheetId="6" state="visible" r:id="rId8"/>
    <sheet name="Variable Justification" sheetId="7" state="visible" r:id="rId9"/>
    <sheet name="Inferential Tests" sheetId="8" state="visible" r:id="rId10"/>
    <sheet name="Data Dictionary" sheetId="9" state="visible" r:id="rId11"/>
    <sheet name="Team-Level Data (48)" sheetId="10" state="visible" r:id="rId12"/>
    <sheet name="LR2.1 EDA" sheetId="11" state="visible" r:id="rId13"/>
  </sheets>
  <definedNames>
    <definedName function="false" hidden="true" localSheetId="0" name="_xlnm._FilterDatabase" vbProcedure="false">'All Matches'!$A$1:$I$105</definedName>
    <definedName function="false" hidden="true" localSheetId="4" name="_xlnm._FilterDatabase" vbProcedure="false">'LR2.1 Dataset'!$A$1:$AE$105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<sst xmlns="http://schemas.openxmlformats.org/spreadsheetml/2006/main" count="1908" uniqueCount="345">
  <si>
    <t xml:space="preserve">Match #</t>
  </si>
  <si>
    <t xml:space="preserve">Stage</t>
  </si>
  <si>
    <t xml:space="preserve">Group</t>
  </si>
  <si>
    <t xml:space="preserve">Date</t>
  </si>
  <si>
    <t xml:space="preserve">Home Team</t>
  </si>
  <si>
    <t xml:space="preserve">Home</t>
  </si>
  <si>
    <t xml:space="preserve">Away</t>
  </si>
  <si>
    <t xml:space="preserve">Away Team</t>
  </si>
  <si>
    <t xml:space="preserve">Notes</t>
  </si>
  <si>
    <t xml:space="preserve">Group stage</t>
  </si>
  <si>
    <t xml:space="preserve">A</t>
  </si>
  <si>
    <t xml:space="preserve">2026-06-11</t>
  </si>
  <si>
    <t xml:space="preserve">Mexico</t>
  </si>
  <si>
    <t xml:space="preserve">South Africa</t>
  </si>
  <si>
    <t xml:space="preserve">2026-06-12</t>
  </si>
  <si>
    <t xml:space="preserve">South Korea</t>
  </si>
  <si>
    <t xml:space="preserve">Czechia</t>
  </si>
  <si>
    <t xml:space="preserve">2026-06-18</t>
  </si>
  <si>
    <t xml:space="preserve">2026-06-24</t>
  </si>
  <si>
    <t xml:space="preserve">B</t>
  </si>
  <si>
    <t xml:space="preserve">Canada</t>
  </si>
  <si>
    <t xml:space="preserve">Bosnia and Herzegovina</t>
  </si>
  <si>
    <t xml:space="preserve">2026-06-13</t>
  </si>
  <si>
    <t xml:space="preserve">Qatar</t>
  </si>
  <si>
    <t xml:space="preserve">Switzerland</t>
  </si>
  <si>
    <t xml:space="preserve">2026-06-19</t>
  </si>
  <si>
    <t xml:space="preserve">C</t>
  </si>
  <si>
    <t xml:space="preserve">Brazil</t>
  </si>
  <si>
    <t xml:space="preserve">Morocco</t>
  </si>
  <si>
    <t xml:space="preserve">2026-06-14</t>
  </si>
  <si>
    <t xml:space="preserve">Haiti</t>
  </si>
  <si>
    <t xml:space="preserve">Scotland</t>
  </si>
  <si>
    <t xml:space="preserve">2026-06-20</t>
  </si>
  <si>
    <t xml:space="preserve">D</t>
  </si>
  <si>
    <t xml:space="preserve">USA</t>
  </si>
  <si>
    <t xml:space="preserve">Paraguay</t>
  </si>
  <si>
    <t xml:space="preserve">Australia</t>
  </si>
  <si>
    <t xml:space="preserve">Turkiye</t>
  </si>
  <si>
    <t xml:space="preserve">2026-06-25</t>
  </si>
  <si>
    <t xml:space="preserve">E</t>
  </si>
  <si>
    <t xml:space="preserve">Germany</t>
  </si>
  <si>
    <t xml:space="preserve">Curacao</t>
  </si>
  <si>
    <t xml:space="preserve">Cote d'Ivoire</t>
  </si>
  <si>
    <t xml:space="preserve">Ecuador</t>
  </si>
  <si>
    <t xml:space="preserve">F</t>
  </si>
  <si>
    <t xml:space="preserve">Netherlands</t>
  </si>
  <si>
    <t xml:space="preserve">Japan</t>
  </si>
  <si>
    <t xml:space="preserve">2026-06-15</t>
  </si>
  <si>
    <t xml:space="preserve">Sweden</t>
  </si>
  <si>
    <t xml:space="preserve">Tunisia</t>
  </si>
  <si>
    <t xml:space="preserve">2026-06-21</t>
  </si>
  <si>
    <t xml:space="preserve">G</t>
  </si>
  <si>
    <t xml:space="preserve">Belgium</t>
  </si>
  <si>
    <t xml:space="preserve">Egypt</t>
  </si>
  <si>
    <t xml:space="preserve">IR Iran</t>
  </si>
  <si>
    <t xml:space="preserve">New Zealand</t>
  </si>
  <si>
    <t xml:space="preserve">2026-06-22</t>
  </si>
  <si>
    <t xml:space="preserve">2026-06-26</t>
  </si>
  <si>
    <t xml:space="preserve">H</t>
  </si>
  <si>
    <t xml:space="preserve">Spain</t>
  </si>
  <si>
    <t xml:space="preserve">Cabo Verde</t>
  </si>
  <si>
    <t xml:space="preserve">Saudi Arabia</t>
  </si>
  <si>
    <t xml:space="preserve">Uruguay</t>
  </si>
  <si>
    <t xml:space="preserve">I</t>
  </si>
  <si>
    <t xml:space="preserve">2026-06-16</t>
  </si>
  <si>
    <t xml:space="preserve">France</t>
  </si>
  <si>
    <t xml:space="preserve">Senegal</t>
  </si>
  <si>
    <t xml:space="preserve">2026-06-17</t>
  </si>
  <si>
    <t xml:space="preserve">Iraq</t>
  </si>
  <si>
    <t xml:space="preserve">Norway</t>
  </si>
  <si>
    <t xml:space="preserve">2026-06-23</t>
  </si>
  <si>
    <t xml:space="preserve">J</t>
  </si>
  <si>
    <t xml:space="preserve">Argentina</t>
  </si>
  <si>
    <t xml:space="preserve">Algeria</t>
  </si>
  <si>
    <t xml:space="preserve">Austria</t>
  </si>
  <si>
    <t xml:space="preserve">Jordan</t>
  </si>
  <si>
    <t xml:space="preserve">2026-06-27</t>
  </si>
  <si>
    <t xml:space="preserve">K</t>
  </si>
  <si>
    <t xml:space="preserve">Portugal</t>
  </si>
  <si>
    <t xml:space="preserve">DR Congo</t>
  </si>
  <si>
    <t xml:space="preserve">Uzbekistan</t>
  </si>
  <si>
    <t xml:space="preserve">Colombia</t>
  </si>
  <si>
    <t xml:space="preserve">L</t>
  </si>
  <si>
    <t xml:space="preserve">England</t>
  </si>
  <si>
    <t xml:space="preserve">Croatia</t>
  </si>
  <si>
    <t xml:space="preserve">Ghana</t>
  </si>
  <si>
    <t xml:space="preserve">Panama</t>
  </si>
  <si>
    <t xml:space="preserve">Round of 32</t>
  </si>
  <si>
    <t xml:space="preserve">2026-06-28</t>
  </si>
  <si>
    <t xml:space="preserve">2026-06-29</t>
  </si>
  <si>
    <t xml:space="preserve">Paraguay won on penalties</t>
  </si>
  <si>
    <t xml:space="preserve">2026-06-30</t>
  </si>
  <si>
    <t xml:space="preserve">Morocco won on penalties</t>
  </si>
  <si>
    <t xml:space="preserve">2026-07-01</t>
  </si>
  <si>
    <t xml:space="preserve">2026-07-02</t>
  </si>
  <si>
    <t xml:space="preserve">Belgium won after extra time</t>
  </si>
  <si>
    <t xml:space="preserve">2026-07-03</t>
  </si>
  <si>
    <t xml:space="preserve">Egypt won on penalties</t>
  </si>
  <si>
    <t xml:space="preserve">Argentina won after extra time</t>
  </si>
  <si>
    <t xml:space="preserve">Round of 16</t>
  </si>
  <si>
    <t xml:space="preserve">2026-07-04</t>
  </si>
  <si>
    <t xml:space="preserve">2026-07-05</t>
  </si>
  <si>
    <t xml:space="preserve">2026-07-06</t>
  </si>
  <si>
    <t xml:space="preserve">2026-07-07</t>
  </si>
  <si>
    <t xml:space="preserve">Switzerland won on penalties after extra time</t>
  </si>
  <si>
    <t xml:space="preserve">Quarter-final</t>
  </si>
  <si>
    <t xml:space="preserve">2026-07-09</t>
  </si>
  <si>
    <t xml:space="preserve">2026-07-10</t>
  </si>
  <si>
    <t xml:space="preserve">England won after extra time</t>
  </si>
  <si>
    <t xml:space="preserve">2026-07-11</t>
  </si>
  <si>
    <t xml:space="preserve">Semi-final</t>
  </si>
  <si>
    <t xml:space="preserve">2026-07-14</t>
  </si>
  <si>
    <t xml:space="preserve">2026-07-15</t>
  </si>
  <si>
    <t xml:space="preserve">Third-place match</t>
  </si>
  <si>
    <t xml:space="preserve">2026-07-18</t>
  </si>
  <si>
    <t xml:space="preserve">Final</t>
  </si>
  <si>
    <t xml:space="preserve">2026-07-19</t>
  </si>
  <si>
    <t xml:space="preserve">Spain won after extra time</t>
  </si>
  <si>
    <t xml:space="preserve">Team</t>
  </si>
  <si>
    <t xml:space="preserve">MP</t>
  </si>
  <si>
    <t xml:space="preserve">W</t>
  </si>
  <si>
    <t xml:space="preserve">GF</t>
  </si>
  <si>
    <t xml:space="preserve">GA</t>
  </si>
  <si>
    <t xml:space="preserve">GD</t>
  </si>
  <si>
    <t xml:space="preserve">Pts</t>
  </si>
  <si>
    <t xml:space="preserve">Score</t>
  </si>
  <si>
    <t xml:space="preserve">1-0</t>
  </si>
  <si>
    <t xml:space="preserve">2-1</t>
  </si>
  <si>
    <t xml:space="preserve">1-1</t>
  </si>
  <si>
    <t xml:space="preserve">3-0</t>
  </si>
  <si>
    <t xml:space="preserve">2-0</t>
  </si>
  <si>
    <t xml:space="preserve">3-2</t>
  </si>
  <si>
    <t xml:space="preserve">4-1</t>
  </si>
  <si>
    <t xml:space="preserve">0-0</t>
  </si>
  <si>
    <t xml:space="preserve">3-1</t>
  </si>
  <si>
    <t xml:space="preserve">6-4</t>
  </si>
  <si>
    <t xml:space="preserve">2026 FIFA World Cup — Full Match Dataset (104 matches)</t>
  </si>
  <si>
    <t xml:space="preserve">Scope: all 104 matches of the 2026 FIFA World Cup (48-team format) — 72 group-stage matches across Groups A-L, plus the 32-match knockout bracket (Round of 32, Round of 16, Quarter-finals, Semi-finals, Third-place match, Final).</t>
  </si>
  <si>
    <t xml:space="preserve">Sources:</t>
  </si>
  <si>
    <t xml:space="preserve">- Knockout stage results (Round of 32 through Final): FBref.com, World Cup Scores &amp; Fixtures / knockout bracket page.</t>
  </si>
  <si>
    <t xml:space="preserve">- Group stage results: individual Wikipedia group pages (2026 FIFA World Cup Group A ... Group L), cross-checked.</t>
  </si>
  <si>
    <t xml:space="preserve">Verification method:</t>
  </si>
  <si>
    <t xml:space="preserve">- Every group's 6 match scores were checked arithmetically against that group's official final standings (Played/Won/Drawn/Lost/GF/GA/Pts) from FBref's League Table.</t>
  </si>
  <si>
    <t xml:space="preserve">- Any match whose score produced a standings mismatch was re-verified with an independent live web search (news wire / match report) and corrected. Corrections made during verification: Group B (Switzerland 4-1 Bosnia, not 5-0; Switzerland 2-1 Canada, not 1-0), Group D (Turkey 3-2 USA, not 1-0), Group E (Germany 2-1 Ivory Coast confirmed; Ecuador 2-1 Germany, not 1-2; Ecuador 0-0 Curacao, not 1-1), Group F (Sweden 5-1 Tunisia, not 5-0; Tunisia 0-4 Japan, not 0-5; Tunisia 1-3 Netherlands, not 1-4), Group G (New Zealand 1-3 Egypt, not 1-2), Group H (Spain 4-0 Saudi Arabia, not 5-0; Cabo Verde 0-0 Saudi Arabia, not 0-1), Group I (Norway 1-4 France, not 0-10; Norway 3-2 Senegal, not 4-2), Group J (Austria 3-1 Jordan, not 2-1), Group K (Portugal 5-0 Uzbekistan, not 6-0), Group L (Croatia 2-1 Ghana, not 1-0).</t>
  </si>
  <si>
    <t xml:space="preserve">- After correction, every team's recomputed MP/W/D/L/GF/GA/Pts matches the official standings exactly (see 'Group Standings' tab, which recomputes these live from the match list with formulas).</t>
  </si>
  <si>
    <t xml:space="preserve">How to use this workbook:</t>
  </si>
  <si>
    <t xml:space="preserve">- 'All Matches' — the full 104-match schedule, filterable by Stage/Group/Date.</t>
  </si>
  <si>
    <t xml:space="preserve">- 'Group Standings' — live formulas (SUMPRODUCT/SUMIFS) recompute each team's table row directly from 'All Matches'; edit a score there and the standings update automatically.</t>
  </si>
  <si>
    <t xml:space="preserve">- 'Knockout Bracket' — the 32 knockout matches in bracket order with extra-time/penalty notes.</t>
  </si>
  <si>
    <t xml:space="preserve">Home Score</t>
  </si>
  <si>
    <t xml:space="preserve">Away Score</t>
  </si>
  <si>
    <t xml:space="preserve">Goal Difference (Target)</t>
  </si>
  <si>
    <t xml:space="preserve">X1 FIFA Rank Diff (Away-Home)</t>
  </si>
  <si>
    <t xml:space="preserve">X2 Squad Value Diff EURm (Home-Away)</t>
  </si>
  <si>
    <t xml:space="preserve">X3 Squad Age Diff (Home-Away)</t>
  </si>
  <si>
    <t xml:space="preserve">X4 Prior WC Best Result Diff (Home-Away)</t>
  </si>
  <si>
    <t xml:space="preserve">X5 Qualifying GD Diff (Home-Away)</t>
  </si>
  <si>
    <t xml:space="preserve">X6 Host Advantage Diff (Home-Away)</t>
  </si>
  <si>
    <t xml:space="preserve">X7 Confederation Strength Diff (Home-Away)</t>
  </si>
  <si>
    <t xml:space="preserve">X8 Rest Days Diff (Home-Away)</t>
  </si>
  <si>
    <t xml:space="preserve">Home FIFA Rank</t>
  </si>
  <si>
    <t xml:space="preserve">Away FIFA Rank</t>
  </si>
  <si>
    <t xml:space="preserve">Home Squad Value EURm</t>
  </si>
  <si>
    <t xml:space="preserve">Away Squad Value EURm</t>
  </si>
  <si>
    <t xml:space="preserve">Home Squad Age</t>
  </si>
  <si>
    <t xml:space="preserve">Away Squad Age</t>
  </si>
  <si>
    <t xml:space="preserve">Home Prior-WC-Best (ordinal)</t>
  </si>
  <si>
    <t xml:space="preserve">Away Prior-WC-Best (ordinal)</t>
  </si>
  <si>
    <t xml:space="preserve">Home Qualifying GD</t>
  </si>
  <si>
    <t xml:space="preserve">Away Qualifying GD</t>
  </si>
  <si>
    <t xml:space="preserve">Home Confederation</t>
  </si>
  <si>
    <t xml:space="preserve">Away Confederation</t>
  </si>
  <si>
    <t xml:space="preserve">Home Rest Days</t>
  </si>
  <si>
    <t xml:space="preserve">Away Rest Days</t>
  </si>
  <si>
    <t xml:space="preserve">CONCACAF</t>
  </si>
  <si>
    <t xml:space="preserve">CAF</t>
  </si>
  <si>
    <t xml:space="preserve">AFC</t>
  </si>
  <si>
    <t xml:space="preserve">UEFA</t>
  </si>
  <si>
    <t xml:space="preserve">CONMEBOL</t>
  </si>
  <si>
    <t xml:space="preserve">OFC</t>
  </si>
  <si>
    <t xml:space="preserve">-</t>
  </si>
  <si>
    <t xml:space="preserve">LR 2.1 — Goal Difference Regression: Feature Documentation</t>
  </si>
  <si>
    <t xml:space="preserve">Feature</t>
  </si>
  <si>
    <t xml:space="preserve">Definition</t>
  </si>
  <si>
    <t xml:space="preserve">Construction (Home − Away)</t>
  </si>
  <si>
    <t xml:space="preserve">Data Source</t>
  </si>
  <si>
    <t xml:space="preserve">Assumption / Limitation</t>
  </si>
  <si>
    <t xml:space="preserve">Target: Goal Difference</t>
  </si>
  <si>
    <t xml:space="preserve">Home team's goals minus away team's goals in that match</t>
  </si>
  <si>
    <t xml:space="preserve">Home Score − Away Score</t>
  </si>
  <si>
    <t xml:space="preserve">FBref (knockout) + Wikipedia group pages, independently verified match-by-match</t>
  </si>
  <si>
    <t xml:space="preserve">Positive = home team won by more goals; negative = away team won by more</t>
  </si>
  <si>
    <t xml:space="preserve">X1 — FIFA Ranking Diff</t>
  </si>
  <si>
    <t xml:space="preserve">Difference in official FIFA World Ranking position</t>
  </si>
  <si>
    <t xml:space="preserve">Away Rank − Home Rank (so + favors home, since lower rank number = stronger team)</t>
  </si>
  <si>
    <t xml:space="preserve">FIFA.com ranking as of 11 June 2026, cross-validated across 3 independent news sources (MLSsoccer, ESPN Africa, The Peninsula Qatar)</t>
  </si>
  <si>
    <t xml:space="preserve">Exact FIFA ranking POINTS could not be reliably confirmed for most teams (FIFA's own site is JS-rendered and secondary sources disagreed); rank POSITION was used instead and is reliable for all 48 teams. VERIFIED: matches FIFA's own 11 Jun 2026 release (Argentina 1st, Spain 2nd, France 3rd). Sofascore team pages were rejected because they show live post-tournament rankings, which would leak match outcomes.</t>
  </si>
  <si>
    <t xml:space="preserve">X2 — Squad Market Value Diff</t>
  </si>
  <si>
    <t xml:space="preserve">Difference in total squad market value (EUR millions)</t>
  </si>
  <si>
    <t xml:space="preserve">Home Value − Away Value</t>
  </si>
  <si>
    <t xml:space="preserve">Transfermarkt data via Planet Football's 2026 World Cup squad value rankings</t>
  </si>
  <si>
    <t xml:space="preserve">Sourced from a secondary aggregator citing Transfermarkt (direct Transfermarkt access was blocked in the research environment). Recommend spot-checking 3-5 team values directly on Transfermarkt.com before final submission. TIMING CHECK: the earliest dated article found is 16 Jun 2026 (5 days after kick-off); identical values appear in articles dated 16 Jun, 18 Jun, 15 Jul and 28 Jul 2026, so the figures were not updated by match results (a static squad snapshot). A value taken strictly before 11 Jun could not be located, so a small timing risk remains and should be stated as a limitation.</t>
  </si>
  <si>
    <t xml:space="preserve">X3 — Squad Average Age Diff</t>
  </si>
  <si>
    <t xml:space="preserve">Difference in average age of the 26-man World Cup squad</t>
  </si>
  <si>
    <t xml:space="preserve">Home Age − Away Age</t>
  </si>
  <si>
    <t xml:space="preserve">Journalist compilations (RotoWire, cross-checked with CBS Sports) from official FIFA 26-man rosters announced 2 June 2026</t>
  </si>
  <si>
    <t xml:space="preserve">A second independent source showed differing decimal values for a few teams (e.g. Ecuador); the CBS Sports-corroborated set was used. Minor (&lt;1 year) imprecision possible for individual teams.</t>
  </si>
  <si>
    <t xml:space="preserve">X4 — Prior World Cup Best Result Diff</t>
  </si>
  <si>
    <t xml:space="preserve">Difference in each team's best-ever World Cup finish before 2026, coded ordinally (Winner=8 ... Never qualified=1)</t>
  </si>
  <si>
    <t xml:space="preserve">Home ordinal score − Away ordinal score</t>
  </si>
  <si>
    <t xml:space="preserve">Football history / FIFA World Cup records; Czechia credited with Czechoslovakia's results, Germany with West Germany's, DR Congo with Zaire's 1974 appearance</t>
  </si>
  <si>
    <t xml:space="preserve">Ordinal coding is a simplification (e.g. the real competitive gap between 'Winner' and 'Runner-up' may not be linear) — reasonable for a first-pass linear model but worth flagging as a limitation in the report.</t>
  </si>
  <si>
    <t xml:space="preserve">X5 — Qualifying Campaign GD Diff</t>
  </si>
  <si>
    <t xml:space="preserve">Difference in goal difference (GF-GA) during 2026 WC qualifying (2023-2025)</t>
  </si>
  <si>
    <t xml:space="preserve">Home Qualifying GD − Away Qualifying GD</t>
  </si>
  <si>
    <t xml:space="preserve">Wikipedia confederation qualification articles (UEFA/CONMEBOL/CAF/AFC/CONCACAF/OFC final group standings)</t>
  </si>
  <si>
    <t xml:space="preserve">Mexico, USA and Canada qualified automatically as hosts and played no qualifying campaign; their qualifying GD was set to 0 (neutral) rather than left blank, since this is a pre-match feature used in every one of their matches. This is a documented simplifying assumption, not a researched value.</t>
  </si>
  <si>
    <t xml:space="preserve">X6 — Host Advantage Diff</t>
  </si>
  <si>
    <t xml:space="preserve">Whether a team is one of the three co-host nations (USA, Mexico, Canada), who play all/most matches on home soil</t>
  </si>
  <si>
    <t xml:space="preserve">(1 if Home is host else 0) − (1 if Away is host else 0)  → range {-1, 0, 1}</t>
  </si>
  <si>
    <t xml:space="preserve">2026 FIFA World Cup hosting agreement (fixed tournament fact)</t>
  </si>
  <si>
    <t xml:space="preserve">Only hosts get true home-soil advantage; the Home/Away labels in the fixture list itself do not imply home advantage for non-host teams (all other matches are at neutral venues). 15 of 104 matches involve a host.</t>
  </si>
  <si>
    <t xml:space="preserve">X7 — Confederation Strength Diff</t>
  </si>
  <si>
    <t xml:space="preserve">Difference in an ordinal confederation strength tier (UEFA=6, CONMEBOL=5, CAF=4, CONCACAF=3, AFC=2, OFC=1)</t>
  </si>
  <si>
    <t xml:space="preserve">Home tier − Away tier</t>
  </si>
  <si>
    <t xml:space="preserve">Author-assigned ordinal ranking based on historical World Cup results by confederation (UEFA/CONMEBOL have combined 22 titles; CAF/CONCACAF have reached semifinals; AFC's best is 4th place; OFC has never passed the group stage)</t>
  </si>
  <si>
    <t xml:space="preserve">This index is a judgment call, not an official FIFA metric — state this explicitly in the report's methodology section and be ready to justify the ordering if asked.</t>
  </si>
  <si>
    <t xml:space="preserve">X8 — Rest Days Diff</t>
  </si>
  <si>
    <t xml:space="preserve">Difference in days of rest since each team's previous match in this World Cup</t>
  </si>
  <si>
    <t xml:space="preserve">Home Rest Days − Away Rest Days</t>
  </si>
  <si>
    <t xml:space="preserve">Computed directly from the verified 104-match schedule (date arithmetic)</t>
  </si>
  <si>
    <t xml:space="preserve">A team's very first match of the tournament has no prior match to measure from; a fixed baseline of 14 days (standard pre-tournament training-camp period) was assumed for all opening matches.</t>
  </si>
  <si>
    <t xml:space="preserve">Variable</t>
  </si>
  <si>
    <t xml:space="preserve">Name</t>
  </si>
  <si>
    <t xml:space="preserve">Reason</t>
  </si>
  <si>
    <t xml:space="preserve">Expected effect on Goal Difference</t>
  </si>
  <si>
    <t xml:space="preserve">Source</t>
  </si>
  <si>
    <t xml:space="preserve">X1</t>
  </si>
  <si>
    <t xml:space="preserve">FIFA Ranking Difference (Away rank - Home rank)</t>
  </si>
  <si>
    <t xml:space="preserve">Official summary of recent results and opponent strength; better-ranked teams should outscore weaker ones.</t>
  </si>
  <si>
    <t xml:space="preserve">+</t>
  </si>
  <si>
    <t xml:space="preserve">FIFA Men's World Ranking, 11 Jun 2026 (inside.fifa.com; cross-checked with MLSsoccer, ESPN)</t>
  </si>
  <si>
    <t xml:space="preserve">X2</t>
  </si>
  <si>
    <t xml:space="preserve">Squad Market Value Difference (EUR m, Home - Away)</t>
  </si>
  <si>
    <t xml:space="preserve">Market value prices individual quality and depth; richer squads should win by more.</t>
  </si>
  <si>
    <t xml:space="preserve">Transfermarkt values via Planet Football (values identical in articles dated 16 Jun, 18 Jun, 15 Jul, 28 Jul 2026)</t>
  </si>
  <si>
    <t xml:space="preserve">X3</t>
  </si>
  <si>
    <t xml:space="preserve">Squad Average Age Difference (years, Home - Away)</t>
  </si>
  <si>
    <t xml:space="preserve">Older squads bring experience but lose pace and stamina; effect direction is ambiguous, so no strong prior.</t>
  </si>
  <si>
    <t xml:space="preserve">+/- (unclear)</t>
  </si>
  <si>
    <t xml:space="preserve">Official 26-man FIFA squads announced 2 Jun 2026 (RotoWire, CBS Sports)</t>
  </si>
  <si>
    <t xml:space="preserve">X4</t>
  </si>
  <si>
    <t xml:space="preserve">Prior World Cup Best Result Difference (ordinal 1-8)</t>
  </si>
  <si>
    <t xml:space="preserve">Tournament pedigree reflects football culture and big-match experience.</t>
  </si>
  <si>
    <t xml:space="preserve">FIFA World Cup records (Czechoslovakia-&gt;Czechia, West Germany-&gt;Germany, Zaire-&gt;DR Congo)</t>
  </si>
  <si>
    <t xml:space="preserve">X5</t>
  </si>
  <si>
    <t xml:space="preserve">Qualifying Goal Difference (Home - Away)</t>
  </si>
  <si>
    <t xml:space="preserve">Goal difference over 2023-25 qualifiers is a pre-tournament proxy for attacking and defensive form.</t>
  </si>
  <si>
    <t xml:space="preserve">Wikipedia 2026 FIFA World Cup qualification pages (all confederations); hosts set to 0 (assumption)</t>
  </si>
  <si>
    <t xml:space="preserve">X6</t>
  </si>
  <si>
    <t xml:space="preserve">Host Advantage Difference (1 / 0 / -1)</t>
  </si>
  <si>
    <t xml:space="preserve">Hosts play on home soil with crowd support and no travel.</t>
  </si>
  <si>
    <t xml:space="preserve">Tournament hosting arrangement: USA, Mexico, Canada</t>
  </si>
  <si>
    <t xml:space="preserve">X7</t>
  </si>
  <si>
    <t xml:space="preserve">Confederation Strength Difference (tier 1-6)</t>
  </si>
  <si>
    <t xml:space="preserve">Teams from stronger confederations face tougher competition and tend to perform better at World Cups.</t>
  </si>
  <si>
    <t xml:space="preserve">Author-assigned ordinal tier from historical World Cup results (not an official metric)</t>
  </si>
  <si>
    <t xml:space="preserve">X8</t>
  </si>
  <si>
    <t xml:space="preserve">Rest Days Difference (Home - Away)</t>
  </si>
  <si>
    <t xml:space="preserve">More recovery time between matches should reduce fatigue and injury risk.</t>
  </si>
  <si>
    <t xml:space="preserve">+ (weak)</t>
  </si>
  <si>
    <t xml:space="preserve">Computed from the verified match schedule; opening matches assumed 14 days</t>
  </si>
  <si>
    <t xml:space="preserve">Var</t>
  </si>
  <si>
    <t xml:space="preserve">Pearson r</t>
  </si>
  <si>
    <t xml:space="preserve">CI95 low</t>
  </si>
  <si>
    <t xml:space="preserve">CI95 high</t>
  </si>
  <si>
    <t xml:space="preserve">p (Pearson)</t>
  </si>
  <si>
    <t xml:space="preserve">Spearman rho</t>
  </si>
  <si>
    <t xml:space="preserve">p (Spearman)</t>
  </si>
  <si>
    <t xml:space="preserve">Host vs non-host: 15 host matches, mean host-perspective goal difference +0.87; one-sample t-test vs 0: t=1.39, p=0.187. Welch t-test vs the 89 non-host matches: t=0.28, p=0.785. No significant host effect.</t>
  </si>
  <si>
    <t xml:space="preserve">OLS GD ~ FIFA rank diff + host: rank coefficient +0.034 per place (p&lt;0.001); host coefficient +0.27 (95% CI -0.53 to 1.06, p=0.50) after controlling for strength.</t>
  </si>
  <si>
    <t xml:space="preserve">Mean goal difference across all 104 matches is +0.83 (one-sample t-test p&lt;0.001), because stronger or seeded teams are listed as Home more often.</t>
  </si>
  <si>
    <t xml:space="preserve">Significant at 5%: X1, X2, X4, X5, X7 (Pearson and Spearman agree). Not significant: X3, X6; X8 is borderline (Pearson p=0.054, Spearman p=0.043).</t>
  </si>
  <si>
    <t xml:space="preserve">Column</t>
  </si>
  <si>
    <t xml:space="preserve">Type</t>
  </si>
  <si>
    <t xml:space="preserve">Description</t>
  </si>
  <si>
    <t xml:space="preserve">int</t>
  </si>
  <si>
    <t xml:space="preserve">Row ID 1-104 in chronological order of listing</t>
  </si>
  <si>
    <t xml:space="preserve">Wikipedia/FBref</t>
  </si>
  <si>
    <t xml:space="preserve">text</t>
  </si>
  <si>
    <t xml:space="preserve">Group stage, Round of 32, Round of 16, Quarter-final, Semi-final, Third-place match, Final</t>
  </si>
  <si>
    <t xml:space="preserve">FBref</t>
  </si>
  <si>
    <t xml:space="preserve">Group letter A-L for group stage; blank for knockouts</t>
  </si>
  <si>
    <t xml:space="preserve">Wikipedia</t>
  </si>
  <si>
    <t xml:space="preserve">date</t>
  </si>
  <si>
    <t xml:space="preserve">Match date (YYYY-MM-DD)</t>
  </si>
  <si>
    <t xml:space="preserve">Home / Away</t>
  </si>
  <si>
    <t xml:space="preserve">Team listed first / second in the fixture. Not a true home advantage (except hosts)</t>
  </si>
  <si>
    <t xml:space="preserve">Home Score / Away Score</t>
  </si>
  <si>
    <t xml:space="preserve">Goals after normal time and extra time; shoot-out goals excluded</t>
  </si>
  <si>
    <t xml:space="preserve">Home Score - Away Score; range -4 to +6</t>
  </si>
  <si>
    <t xml:space="preserve">Computed</t>
  </si>
  <si>
    <t xml:space="preserve">X1..X8</t>
  </si>
  <si>
    <t xml:space="preserve">numeric</t>
  </si>
  <si>
    <t xml:space="preserve">Feature differences, see variable_justification.csv for meaning, expected sign and source</t>
  </si>
  <si>
    <t xml:space="preserve">See justification</t>
  </si>
  <si>
    <t xml:space="preserve">Home/Away raw columns</t>
  </si>
  <si>
    <t xml:space="preserve">numeric/text</t>
  </si>
  <si>
    <t xml:space="preserve">Underlying team-level values behind each feature, kept for transparency and for building LR 2.2</t>
  </si>
  <si>
    <t xml:space="preserve">team_level_data_48.csv</t>
  </si>
  <si>
    <t xml:space="preserve">Confederation</t>
  </si>
  <si>
    <t xml:space="preserve">Confederation_Tier</t>
  </si>
  <si>
    <t xml:space="preserve">FIFA_Rank_11Jun2026</t>
  </si>
  <si>
    <t xml:space="preserve">Squad_Value_EURm</t>
  </si>
  <si>
    <t xml:space="preserve">Squad_Avg_Age</t>
  </si>
  <si>
    <t xml:space="preserve">Prior_WC_Best_Category</t>
  </si>
  <si>
    <t xml:space="preserve">Prior_WC_Best_Ordinal</t>
  </si>
  <si>
    <t xml:space="preserve">Qualifying_GD</t>
  </si>
  <si>
    <t xml:space="preserve">Is_Host</t>
  </si>
  <si>
    <t xml:space="preserve">Winner</t>
  </si>
  <si>
    <t xml:space="preserve">Third place</t>
  </si>
  <si>
    <t xml:space="preserve">Fourth place</t>
  </si>
  <si>
    <t xml:space="preserve">Runner-up</t>
  </si>
  <si>
    <t xml:space="preserve">Never qualified</t>
  </si>
  <si>
    <t xml:space="preserve">LR 2.1 — Exploratory Data Analysis</t>
  </si>
  <si>
    <t xml:space="preserve">104 matches, 2026 FIFA World Cup — target: Goal Difference, 8 pre-match features</t>
  </si>
  <si>
    <t xml:space="preserve">Key findings</t>
  </si>
  <si>
    <t xml:space="preserve">• Missing values: none — all 104 rows x 8 features are fully populated (0 NA anywhere).</t>
  </si>
  <si>
    <t xml:space="preserve">• Target (Goal Difference) is NOT normally distributed (Shapiro-Wilk W=0.956, p=0.0015) — expected, since it's a bounded integer count with a floor near 0 (most matches are close, few are routs). Flag this in the report if the group plans an OLS-assumptions discussion.</t>
  </si>
  <si>
    <t xml:space="preserve">• Strongest single predictors of Goal Difference: X1 FIFA Rank Diff (r=+0.61), X2 Squad Value Diff (r=+0.54), X4 Prior WC Best Result Diff (r=+0.48). These three all point the same direction: a 'stronger team' signal.</t>
  </si>
  <si>
    <t xml:space="preserve">• Weakest predictors: X3 Squad Age Diff (r=-0.08, essentially no linear relationship) and X6 Host Advantage (r=+0.14, only 3 host teams in the data so limited variation).</t>
  </si>
  <si>
    <t xml:space="preserve">• Multicollinearity flag: X1 (FIFA Rank), X2 (Squad Value) and X4 (Prior WC Best) are all moderately-to-strongly correlated with each other (r=0.67-0.80) — they're all proxies for the same underlying 'team strength' concept. VIF for all three is still under 5 (acceptable), but this is worth naming explicitly in the report's limitations section.</t>
  </si>
  <si>
    <t xml:space="preserve">• X6 Host Advantage: only 15 of 104 matches involve a host (USA, Mexico or Canada), and the host effect is not statistically significant (r=+0.14, p=0.15; host-perspective mean goal difference +0.87, one-sample t-test p=0.19). Keep it on theoretical grounds but report it as an imprecise estimate.</t>
  </si>
  <si>
    <t xml:space="preserve">• Home/Away slot is not a true home advantage: the mean goal difference across all matches is +0.83 (p&lt;0.001) because stronger or seeded teams tend to be listed first (mean X1 rank difference = +8.9). Expect a positive intercept in the models and explain this in the report.</t>
  </si>
  <si>
    <t xml:space="preserve">Descriptive statistics</t>
  </si>
  <si>
    <t xml:space="preserve">count</t>
  </si>
  <si>
    <t xml:space="preserve">mean</t>
  </si>
  <si>
    <t xml:space="preserve">std</t>
  </si>
  <si>
    <t xml:space="preserve">min</t>
  </si>
  <si>
    <t xml:space="preserve">25%</t>
  </si>
  <si>
    <t xml:space="preserve">50%</t>
  </si>
  <si>
    <t xml:space="preserve">75%</t>
  </si>
  <si>
    <t xml:space="preserve">max</t>
  </si>
  <si>
    <t xml:space="preserve">skew</t>
  </si>
  <si>
    <t xml:space="preserve">Charts</t>
  </si>
</sst>
</file>

<file path=xl/styles.xml><?xml version="1.0" encoding="utf-8"?>
<styleSheet xmlns="http://schemas.openxmlformats.org/spreadsheetml/2006/main">
  <numFmts count="1">
    <numFmt numFmtId="164" formatCode="General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4"/>
      <color rgb="FF1F4E78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3"/>
      <color rgb="FF1F4E78"/>
      <name val="Arial"/>
      <family val="0"/>
      <charset val="1"/>
    </font>
    <font>
      <b val="true"/>
      <sz val="9"/>
      <name val="Arial"/>
      <family val="0"/>
      <charset val="1"/>
    </font>
    <font>
      <sz val="9"/>
      <name val="Arial"/>
      <family val="0"/>
      <charset val="1"/>
    </font>
    <font>
      <i val="true"/>
      <sz val="10"/>
      <name val="Arial"/>
      <family val="0"/>
      <charset val="1"/>
    </font>
    <font>
      <b val="true"/>
      <sz val="12"/>
      <color rgb="FF1F4E78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FFF2CC"/>
        <bgColor rgb="FFFCE4D6"/>
      </patternFill>
    </fill>
    <fill>
      <patternFill patternType="solid">
        <fgColor rgb="FFFCE4D6"/>
        <bgColor rgb="FFFFF2CC"/>
      </patternFill>
    </fill>
    <fill>
      <patternFill patternType="solid">
        <fgColor rgb="FFE2EFDA"/>
        <bgColor rgb="FFF2F2F2"/>
      </patternFill>
    </fill>
    <fill>
      <patternFill patternType="solid">
        <fgColor rgb="FFF2F2F2"/>
        <bgColor rgb="FFE2EFDA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7">
    <dxf>
      <fill>
        <patternFill patternType="solid">
          <fgColor rgb="FF1F4E78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FCE4D6"/>
          <bgColor rgb="FF000000"/>
        </patternFill>
      </fill>
    </dxf>
    <dxf>
      <fill>
        <patternFill patternType="solid">
          <fgColor rgb="FFE2EFDA"/>
          <bgColor rgb="FF000000"/>
        </patternFill>
      </fill>
    </dxf>
    <dxf>
      <fill>
        <patternFill patternType="solid">
          <fgColor rgb="FFF2F2F2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F2CC"/>
      <rgbColor rgb="FFF2F2F2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CE4D6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sharedStrings" Target="sharedStrings.xml"/>
</Relationships>
</file>

<file path=xl/drawings/_rels/drawing3.xml.rels><?xml version="1.0" encoding="UTF-8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24</xdr:row>
      <xdr:rowOff>160920</xdr:rowOff>
    </xdr:from>
    <xdr:to>
      <xdr:col>9</xdr:col>
      <xdr:colOff>595800</xdr:colOff>
      <xdr:row>40</xdr:row>
      <xdr:rowOff>46080</xdr:rowOff>
    </xdr:to>
    <xdr:pic>
      <xdr:nvPicPr>
        <xdr:cNvPr id="0" name="Image 1" descr="Picture"/>
        <xdr:cNvPicPr/>
      </xdr:nvPicPr>
      <xdr:blipFill>
        <a:blip r:embed="rId1"/>
        <a:stretch/>
      </xdr:blipFill>
      <xdr:spPr>
        <a:xfrm>
          <a:off x="0" y="6229440"/>
          <a:ext cx="8067240" cy="29332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44</xdr:row>
      <xdr:rowOff>160560</xdr:rowOff>
    </xdr:from>
    <xdr:to>
      <xdr:col>15</xdr:col>
      <xdr:colOff>443520</xdr:colOff>
      <xdr:row>72</xdr:row>
      <xdr:rowOff>74880</xdr:rowOff>
    </xdr:to>
    <xdr:pic>
      <xdr:nvPicPr>
        <xdr:cNvPr id="1" name="Image 2" descr="Picture"/>
        <xdr:cNvPicPr/>
      </xdr:nvPicPr>
      <xdr:blipFill>
        <a:blip r:embed="rId2"/>
        <a:stretch/>
      </xdr:blipFill>
      <xdr:spPr>
        <a:xfrm>
          <a:off x="0" y="10039320"/>
          <a:ext cx="11677320" cy="5248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77</xdr:row>
      <xdr:rowOff>160920</xdr:rowOff>
    </xdr:from>
    <xdr:to>
      <xdr:col>7</xdr:col>
      <xdr:colOff>538920</xdr:colOff>
      <xdr:row>106</xdr:row>
      <xdr:rowOff>131760</xdr:rowOff>
    </xdr:to>
    <xdr:pic>
      <xdr:nvPicPr>
        <xdr:cNvPr id="2" name="Image 3" descr="Picture"/>
        <xdr:cNvPicPr/>
      </xdr:nvPicPr>
      <xdr:blipFill>
        <a:blip r:embed="rId3"/>
        <a:stretch/>
      </xdr:blipFill>
      <xdr:spPr>
        <a:xfrm>
          <a:off x="0" y="16326000"/>
          <a:ext cx="6600600" cy="54954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112</xdr:row>
      <xdr:rowOff>160560</xdr:rowOff>
    </xdr:from>
    <xdr:to>
      <xdr:col>15</xdr:col>
      <xdr:colOff>443520</xdr:colOff>
      <xdr:row>142</xdr:row>
      <xdr:rowOff>74520</xdr:rowOff>
    </xdr:to>
    <xdr:pic>
      <xdr:nvPicPr>
        <xdr:cNvPr id="3" name="Image 4" descr="Picture"/>
        <xdr:cNvPicPr/>
      </xdr:nvPicPr>
      <xdr:blipFill>
        <a:blip r:embed="rId4"/>
        <a:stretch/>
      </xdr:blipFill>
      <xdr:spPr>
        <a:xfrm>
          <a:off x="0" y="22993200"/>
          <a:ext cx="11677320" cy="56289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147</xdr:row>
      <xdr:rowOff>160560</xdr:rowOff>
    </xdr:from>
    <xdr:to>
      <xdr:col>6</xdr:col>
      <xdr:colOff>510120</xdr:colOff>
      <xdr:row>163</xdr:row>
      <xdr:rowOff>45720</xdr:rowOff>
    </xdr:to>
    <xdr:pic>
      <xdr:nvPicPr>
        <xdr:cNvPr id="4" name="Image 5" descr="Picture"/>
        <xdr:cNvPicPr/>
      </xdr:nvPicPr>
      <xdr:blipFill>
        <a:blip r:embed="rId5"/>
        <a:stretch/>
      </xdr:blipFill>
      <xdr:spPr>
        <a:xfrm>
          <a:off x="0" y="29660760"/>
          <a:ext cx="5866920" cy="2933280"/>
        </a:xfrm>
        <a:prstGeom prst="rect">
          <a:avLst/>
        </a:prstGeom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11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0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6"/>
    <col collapsed="false" customWidth="true" hidden="false" outlineLevel="0" max="3" min="3" style="0" width="7"/>
    <col collapsed="false" customWidth="true" hidden="false" outlineLevel="0" max="4" min="4" style="0" width="12"/>
    <col collapsed="false" customWidth="true" hidden="false" outlineLevel="0" max="5" min="5" style="0" width="20"/>
    <col collapsed="false" customWidth="true" hidden="false" outlineLevel="0" max="7" min="6" style="0" width="6"/>
    <col collapsed="false" customWidth="true" hidden="false" outlineLevel="0" max="8" min="8" style="0" width="20"/>
    <col collapsed="false" customWidth="true" hidden="false" outlineLevel="0" max="9" min="9" style="0" width="38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customFormat="false" ht="15" hidden="false" customHeight="false" outlineLevel="0" collapsed="false">
      <c r="A2" s="2" t="n">
        <v>1</v>
      </c>
      <c r="B2" s="2" t="s">
        <v>9</v>
      </c>
      <c r="C2" s="2" t="s">
        <v>10</v>
      </c>
      <c r="D2" s="2" t="s">
        <v>11</v>
      </c>
      <c r="E2" s="3" t="s">
        <v>12</v>
      </c>
      <c r="F2" s="2" t="n">
        <v>2</v>
      </c>
      <c r="G2" s="2" t="n">
        <v>0</v>
      </c>
      <c r="H2" s="3" t="s">
        <v>13</v>
      </c>
      <c r="I2" s="3"/>
    </row>
    <row r="3" customFormat="false" ht="15" hidden="false" customHeight="false" outlineLevel="0" collapsed="false">
      <c r="A3" s="2" t="n">
        <v>2</v>
      </c>
      <c r="B3" s="2" t="s">
        <v>9</v>
      </c>
      <c r="C3" s="2" t="s">
        <v>10</v>
      </c>
      <c r="D3" s="2" t="s">
        <v>14</v>
      </c>
      <c r="E3" s="3" t="s">
        <v>15</v>
      </c>
      <c r="F3" s="2" t="n">
        <v>2</v>
      </c>
      <c r="G3" s="2" t="n">
        <v>1</v>
      </c>
      <c r="H3" s="3" t="s">
        <v>16</v>
      </c>
      <c r="I3" s="3"/>
    </row>
    <row r="4" customFormat="false" ht="15" hidden="false" customHeight="false" outlineLevel="0" collapsed="false">
      <c r="A4" s="2" t="n">
        <v>3</v>
      </c>
      <c r="B4" s="2" t="s">
        <v>9</v>
      </c>
      <c r="C4" s="2" t="s">
        <v>10</v>
      </c>
      <c r="D4" s="2" t="s">
        <v>17</v>
      </c>
      <c r="E4" s="3" t="s">
        <v>16</v>
      </c>
      <c r="F4" s="2" t="n">
        <v>1</v>
      </c>
      <c r="G4" s="2" t="n">
        <v>1</v>
      </c>
      <c r="H4" s="3" t="s">
        <v>13</v>
      </c>
      <c r="I4" s="3"/>
    </row>
    <row r="5" customFormat="false" ht="15" hidden="false" customHeight="false" outlineLevel="0" collapsed="false">
      <c r="A5" s="2" t="n">
        <v>4</v>
      </c>
      <c r="B5" s="2" t="s">
        <v>9</v>
      </c>
      <c r="C5" s="2" t="s">
        <v>10</v>
      </c>
      <c r="D5" s="2" t="s">
        <v>17</v>
      </c>
      <c r="E5" s="3" t="s">
        <v>12</v>
      </c>
      <c r="F5" s="2" t="n">
        <v>1</v>
      </c>
      <c r="G5" s="2" t="n">
        <v>0</v>
      </c>
      <c r="H5" s="3" t="s">
        <v>15</v>
      </c>
      <c r="I5" s="3"/>
    </row>
    <row r="6" customFormat="false" ht="15" hidden="false" customHeight="false" outlineLevel="0" collapsed="false">
      <c r="A6" s="2" t="n">
        <v>5</v>
      </c>
      <c r="B6" s="2" t="s">
        <v>9</v>
      </c>
      <c r="C6" s="2" t="s">
        <v>10</v>
      </c>
      <c r="D6" s="2" t="s">
        <v>18</v>
      </c>
      <c r="E6" s="3" t="s">
        <v>16</v>
      </c>
      <c r="F6" s="2" t="n">
        <v>0</v>
      </c>
      <c r="G6" s="2" t="n">
        <v>3</v>
      </c>
      <c r="H6" s="3" t="s">
        <v>12</v>
      </c>
      <c r="I6" s="3"/>
    </row>
    <row r="7" customFormat="false" ht="15" hidden="false" customHeight="false" outlineLevel="0" collapsed="false">
      <c r="A7" s="2" t="n">
        <v>6</v>
      </c>
      <c r="B7" s="2" t="s">
        <v>9</v>
      </c>
      <c r="C7" s="2" t="s">
        <v>10</v>
      </c>
      <c r="D7" s="2" t="s">
        <v>18</v>
      </c>
      <c r="E7" s="3" t="s">
        <v>13</v>
      </c>
      <c r="F7" s="2" t="n">
        <v>1</v>
      </c>
      <c r="G7" s="2" t="n">
        <v>0</v>
      </c>
      <c r="H7" s="3" t="s">
        <v>15</v>
      </c>
      <c r="I7" s="3"/>
    </row>
    <row r="8" customFormat="false" ht="15" hidden="false" customHeight="false" outlineLevel="0" collapsed="false">
      <c r="A8" s="2" t="n">
        <v>7</v>
      </c>
      <c r="B8" s="2" t="s">
        <v>9</v>
      </c>
      <c r="C8" s="2" t="s">
        <v>19</v>
      </c>
      <c r="D8" s="2" t="s">
        <v>14</v>
      </c>
      <c r="E8" s="3" t="s">
        <v>20</v>
      </c>
      <c r="F8" s="2" t="n">
        <v>1</v>
      </c>
      <c r="G8" s="2" t="n">
        <v>1</v>
      </c>
      <c r="H8" s="3" t="s">
        <v>21</v>
      </c>
      <c r="I8" s="3"/>
    </row>
    <row r="9" customFormat="false" ht="15" hidden="false" customHeight="false" outlineLevel="0" collapsed="false">
      <c r="A9" s="2" t="n">
        <v>8</v>
      </c>
      <c r="B9" s="2" t="s">
        <v>9</v>
      </c>
      <c r="C9" s="2" t="s">
        <v>19</v>
      </c>
      <c r="D9" s="2" t="s">
        <v>22</v>
      </c>
      <c r="E9" s="3" t="s">
        <v>23</v>
      </c>
      <c r="F9" s="2" t="n">
        <v>1</v>
      </c>
      <c r="G9" s="2" t="n">
        <v>1</v>
      </c>
      <c r="H9" s="3" t="s">
        <v>24</v>
      </c>
      <c r="I9" s="3"/>
    </row>
    <row r="10" customFormat="false" ht="15" hidden="false" customHeight="false" outlineLevel="0" collapsed="false">
      <c r="A10" s="2" t="n">
        <v>9</v>
      </c>
      <c r="B10" s="2" t="s">
        <v>9</v>
      </c>
      <c r="C10" s="2" t="s">
        <v>19</v>
      </c>
      <c r="D10" s="2" t="s">
        <v>17</v>
      </c>
      <c r="E10" s="3" t="s">
        <v>24</v>
      </c>
      <c r="F10" s="2" t="n">
        <v>4</v>
      </c>
      <c r="G10" s="2" t="n">
        <v>1</v>
      </c>
      <c r="H10" s="3" t="s">
        <v>21</v>
      </c>
      <c r="I10" s="3"/>
    </row>
    <row r="11" customFormat="false" ht="15" hidden="false" customHeight="false" outlineLevel="0" collapsed="false">
      <c r="A11" s="2" t="n">
        <v>10</v>
      </c>
      <c r="B11" s="2" t="s">
        <v>9</v>
      </c>
      <c r="C11" s="2" t="s">
        <v>19</v>
      </c>
      <c r="D11" s="2" t="s">
        <v>25</v>
      </c>
      <c r="E11" s="3" t="s">
        <v>20</v>
      </c>
      <c r="F11" s="2" t="n">
        <v>6</v>
      </c>
      <c r="G11" s="2" t="n">
        <v>0</v>
      </c>
      <c r="H11" s="3" t="s">
        <v>23</v>
      </c>
      <c r="I11" s="3"/>
    </row>
    <row r="12" customFormat="false" ht="15" hidden="false" customHeight="false" outlineLevel="0" collapsed="false">
      <c r="A12" s="2" t="n">
        <v>11</v>
      </c>
      <c r="B12" s="2" t="s">
        <v>9</v>
      </c>
      <c r="C12" s="2" t="s">
        <v>19</v>
      </c>
      <c r="D12" s="2" t="s">
        <v>18</v>
      </c>
      <c r="E12" s="3" t="s">
        <v>24</v>
      </c>
      <c r="F12" s="2" t="n">
        <v>2</v>
      </c>
      <c r="G12" s="2" t="n">
        <v>1</v>
      </c>
      <c r="H12" s="3" t="s">
        <v>20</v>
      </c>
      <c r="I12" s="3"/>
    </row>
    <row r="13" customFormat="false" ht="15" hidden="false" customHeight="false" outlineLevel="0" collapsed="false">
      <c r="A13" s="2" t="n">
        <v>12</v>
      </c>
      <c r="B13" s="2" t="s">
        <v>9</v>
      </c>
      <c r="C13" s="2" t="s">
        <v>19</v>
      </c>
      <c r="D13" s="2" t="s">
        <v>18</v>
      </c>
      <c r="E13" s="3" t="s">
        <v>21</v>
      </c>
      <c r="F13" s="2" t="n">
        <v>3</v>
      </c>
      <c r="G13" s="2" t="n">
        <v>1</v>
      </c>
      <c r="H13" s="3" t="s">
        <v>23</v>
      </c>
      <c r="I13" s="3"/>
    </row>
    <row r="14" customFormat="false" ht="15" hidden="false" customHeight="false" outlineLevel="0" collapsed="false">
      <c r="A14" s="2" t="n">
        <v>13</v>
      </c>
      <c r="B14" s="2" t="s">
        <v>9</v>
      </c>
      <c r="C14" s="2" t="s">
        <v>26</v>
      </c>
      <c r="D14" s="2" t="s">
        <v>22</v>
      </c>
      <c r="E14" s="3" t="s">
        <v>27</v>
      </c>
      <c r="F14" s="2" t="n">
        <v>1</v>
      </c>
      <c r="G14" s="2" t="n">
        <v>1</v>
      </c>
      <c r="H14" s="3" t="s">
        <v>28</v>
      </c>
      <c r="I14" s="3"/>
    </row>
    <row r="15" customFormat="false" ht="15" hidden="false" customHeight="false" outlineLevel="0" collapsed="false">
      <c r="A15" s="2" t="n">
        <v>14</v>
      </c>
      <c r="B15" s="2" t="s">
        <v>9</v>
      </c>
      <c r="C15" s="2" t="s">
        <v>26</v>
      </c>
      <c r="D15" s="2" t="s">
        <v>29</v>
      </c>
      <c r="E15" s="3" t="s">
        <v>30</v>
      </c>
      <c r="F15" s="2" t="n">
        <v>0</v>
      </c>
      <c r="G15" s="2" t="n">
        <v>1</v>
      </c>
      <c r="H15" s="3" t="s">
        <v>31</v>
      </c>
      <c r="I15" s="3"/>
    </row>
    <row r="16" customFormat="false" ht="15" hidden="false" customHeight="false" outlineLevel="0" collapsed="false">
      <c r="A16" s="2" t="n">
        <v>15</v>
      </c>
      <c r="B16" s="2" t="s">
        <v>9</v>
      </c>
      <c r="C16" s="2" t="s">
        <v>26</v>
      </c>
      <c r="D16" s="2" t="s">
        <v>25</v>
      </c>
      <c r="E16" s="3" t="s">
        <v>31</v>
      </c>
      <c r="F16" s="2" t="n">
        <v>0</v>
      </c>
      <c r="G16" s="2" t="n">
        <v>1</v>
      </c>
      <c r="H16" s="3" t="s">
        <v>28</v>
      </c>
      <c r="I16" s="3"/>
    </row>
    <row r="17" customFormat="false" ht="15" hidden="false" customHeight="false" outlineLevel="0" collapsed="false">
      <c r="A17" s="2" t="n">
        <v>16</v>
      </c>
      <c r="B17" s="2" t="s">
        <v>9</v>
      </c>
      <c r="C17" s="2" t="s">
        <v>26</v>
      </c>
      <c r="D17" s="2" t="s">
        <v>32</v>
      </c>
      <c r="E17" s="3" t="s">
        <v>27</v>
      </c>
      <c r="F17" s="2" t="n">
        <v>3</v>
      </c>
      <c r="G17" s="2" t="n">
        <v>0</v>
      </c>
      <c r="H17" s="3" t="s">
        <v>30</v>
      </c>
      <c r="I17" s="3"/>
    </row>
    <row r="18" customFormat="false" ht="15" hidden="false" customHeight="false" outlineLevel="0" collapsed="false">
      <c r="A18" s="2" t="n">
        <v>17</v>
      </c>
      <c r="B18" s="2" t="s">
        <v>9</v>
      </c>
      <c r="C18" s="2" t="s">
        <v>26</v>
      </c>
      <c r="D18" s="2" t="s">
        <v>18</v>
      </c>
      <c r="E18" s="3" t="s">
        <v>31</v>
      </c>
      <c r="F18" s="2" t="n">
        <v>0</v>
      </c>
      <c r="G18" s="2" t="n">
        <v>3</v>
      </c>
      <c r="H18" s="3" t="s">
        <v>27</v>
      </c>
      <c r="I18" s="3"/>
    </row>
    <row r="19" customFormat="false" ht="15" hidden="false" customHeight="false" outlineLevel="0" collapsed="false">
      <c r="A19" s="2" t="n">
        <v>18</v>
      </c>
      <c r="B19" s="2" t="s">
        <v>9</v>
      </c>
      <c r="C19" s="2" t="s">
        <v>26</v>
      </c>
      <c r="D19" s="2" t="s">
        <v>18</v>
      </c>
      <c r="E19" s="3" t="s">
        <v>28</v>
      </c>
      <c r="F19" s="2" t="n">
        <v>4</v>
      </c>
      <c r="G19" s="2" t="n">
        <v>2</v>
      </c>
      <c r="H19" s="3" t="s">
        <v>30</v>
      </c>
      <c r="I19" s="3"/>
    </row>
    <row r="20" customFormat="false" ht="15" hidden="false" customHeight="false" outlineLevel="0" collapsed="false">
      <c r="A20" s="2" t="n">
        <v>19</v>
      </c>
      <c r="B20" s="2" t="s">
        <v>9</v>
      </c>
      <c r="C20" s="2" t="s">
        <v>33</v>
      </c>
      <c r="D20" s="2" t="s">
        <v>14</v>
      </c>
      <c r="E20" s="3" t="s">
        <v>34</v>
      </c>
      <c r="F20" s="2" t="n">
        <v>4</v>
      </c>
      <c r="G20" s="2" t="n">
        <v>1</v>
      </c>
      <c r="H20" s="3" t="s">
        <v>35</v>
      </c>
      <c r="I20" s="3"/>
    </row>
    <row r="21" customFormat="false" ht="15" hidden="false" customHeight="false" outlineLevel="0" collapsed="false">
      <c r="A21" s="2" t="n">
        <v>20</v>
      </c>
      <c r="B21" s="2" t="s">
        <v>9</v>
      </c>
      <c r="C21" s="2" t="s">
        <v>33</v>
      </c>
      <c r="D21" s="2" t="s">
        <v>29</v>
      </c>
      <c r="E21" s="3" t="s">
        <v>36</v>
      </c>
      <c r="F21" s="2" t="n">
        <v>2</v>
      </c>
      <c r="G21" s="2" t="n">
        <v>0</v>
      </c>
      <c r="H21" s="3" t="s">
        <v>37</v>
      </c>
      <c r="I21" s="3"/>
    </row>
    <row r="22" customFormat="false" ht="15" hidden="false" customHeight="false" outlineLevel="0" collapsed="false">
      <c r="A22" s="2" t="n">
        <v>21</v>
      </c>
      <c r="B22" s="2" t="s">
        <v>9</v>
      </c>
      <c r="C22" s="2" t="s">
        <v>33</v>
      </c>
      <c r="D22" s="2" t="s">
        <v>25</v>
      </c>
      <c r="E22" s="3" t="s">
        <v>34</v>
      </c>
      <c r="F22" s="2" t="n">
        <v>2</v>
      </c>
      <c r="G22" s="2" t="n">
        <v>0</v>
      </c>
      <c r="H22" s="3" t="s">
        <v>36</v>
      </c>
      <c r="I22" s="3"/>
    </row>
    <row r="23" customFormat="false" ht="15" hidden="false" customHeight="false" outlineLevel="0" collapsed="false">
      <c r="A23" s="2" t="n">
        <v>22</v>
      </c>
      <c r="B23" s="2" t="s">
        <v>9</v>
      </c>
      <c r="C23" s="2" t="s">
        <v>33</v>
      </c>
      <c r="D23" s="2" t="s">
        <v>32</v>
      </c>
      <c r="E23" s="3" t="s">
        <v>37</v>
      </c>
      <c r="F23" s="2" t="n">
        <v>0</v>
      </c>
      <c r="G23" s="2" t="n">
        <v>1</v>
      </c>
      <c r="H23" s="3" t="s">
        <v>35</v>
      </c>
      <c r="I23" s="3"/>
    </row>
    <row r="24" customFormat="false" ht="15" hidden="false" customHeight="false" outlineLevel="0" collapsed="false">
      <c r="A24" s="2" t="n">
        <v>23</v>
      </c>
      <c r="B24" s="2" t="s">
        <v>9</v>
      </c>
      <c r="C24" s="2" t="s">
        <v>33</v>
      </c>
      <c r="D24" s="2" t="s">
        <v>38</v>
      </c>
      <c r="E24" s="3" t="s">
        <v>37</v>
      </c>
      <c r="F24" s="2" t="n">
        <v>3</v>
      </c>
      <c r="G24" s="2" t="n">
        <v>2</v>
      </c>
      <c r="H24" s="3" t="s">
        <v>34</v>
      </c>
      <c r="I24" s="3"/>
    </row>
    <row r="25" customFormat="false" ht="15" hidden="false" customHeight="false" outlineLevel="0" collapsed="false">
      <c r="A25" s="2" t="n">
        <v>24</v>
      </c>
      <c r="B25" s="2" t="s">
        <v>9</v>
      </c>
      <c r="C25" s="2" t="s">
        <v>33</v>
      </c>
      <c r="D25" s="2" t="s">
        <v>38</v>
      </c>
      <c r="E25" s="3" t="s">
        <v>35</v>
      </c>
      <c r="F25" s="2" t="n">
        <v>0</v>
      </c>
      <c r="G25" s="2" t="n">
        <v>0</v>
      </c>
      <c r="H25" s="3" t="s">
        <v>36</v>
      </c>
      <c r="I25" s="3"/>
    </row>
    <row r="26" customFormat="false" ht="15" hidden="false" customHeight="false" outlineLevel="0" collapsed="false">
      <c r="A26" s="2" t="n">
        <v>25</v>
      </c>
      <c r="B26" s="2" t="s">
        <v>9</v>
      </c>
      <c r="C26" s="2" t="s">
        <v>39</v>
      </c>
      <c r="D26" s="2" t="s">
        <v>29</v>
      </c>
      <c r="E26" s="3" t="s">
        <v>40</v>
      </c>
      <c r="F26" s="2" t="n">
        <v>7</v>
      </c>
      <c r="G26" s="2" t="n">
        <v>1</v>
      </c>
      <c r="H26" s="3" t="s">
        <v>41</v>
      </c>
      <c r="I26" s="3"/>
    </row>
    <row r="27" customFormat="false" ht="15" hidden="false" customHeight="false" outlineLevel="0" collapsed="false">
      <c r="A27" s="2" t="n">
        <v>26</v>
      </c>
      <c r="B27" s="2" t="s">
        <v>9</v>
      </c>
      <c r="C27" s="2" t="s">
        <v>39</v>
      </c>
      <c r="D27" s="2" t="s">
        <v>29</v>
      </c>
      <c r="E27" s="3" t="s">
        <v>42</v>
      </c>
      <c r="F27" s="2" t="n">
        <v>1</v>
      </c>
      <c r="G27" s="2" t="n">
        <v>0</v>
      </c>
      <c r="H27" s="3" t="s">
        <v>43</v>
      </c>
      <c r="I27" s="3"/>
    </row>
    <row r="28" customFormat="false" ht="15" hidden="false" customHeight="false" outlineLevel="0" collapsed="false">
      <c r="A28" s="2" t="n">
        <v>27</v>
      </c>
      <c r="B28" s="2" t="s">
        <v>9</v>
      </c>
      <c r="C28" s="2" t="s">
        <v>39</v>
      </c>
      <c r="D28" s="2" t="s">
        <v>32</v>
      </c>
      <c r="E28" s="3" t="s">
        <v>40</v>
      </c>
      <c r="F28" s="2" t="n">
        <v>2</v>
      </c>
      <c r="G28" s="2" t="n">
        <v>1</v>
      </c>
      <c r="H28" s="3" t="s">
        <v>42</v>
      </c>
      <c r="I28" s="3"/>
    </row>
    <row r="29" customFormat="false" ht="15" hidden="false" customHeight="false" outlineLevel="0" collapsed="false">
      <c r="A29" s="2" t="n">
        <v>28</v>
      </c>
      <c r="B29" s="2" t="s">
        <v>9</v>
      </c>
      <c r="C29" s="2" t="s">
        <v>39</v>
      </c>
      <c r="D29" s="2" t="s">
        <v>32</v>
      </c>
      <c r="E29" s="3" t="s">
        <v>43</v>
      </c>
      <c r="F29" s="2" t="n">
        <v>0</v>
      </c>
      <c r="G29" s="2" t="n">
        <v>0</v>
      </c>
      <c r="H29" s="3" t="s">
        <v>41</v>
      </c>
      <c r="I29" s="3"/>
    </row>
    <row r="30" customFormat="false" ht="15" hidden="false" customHeight="false" outlineLevel="0" collapsed="false">
      <c r="A30" s="2" t="n">
        <v>29</v>
      </c>
      <c r="B30" s="2" t="s">
        <v>9</v>
      </c>
      <c r="C30" s="2" t="s">
        <v>39</v>
      </c>
      <c r="D30" s="2" t="s">
        <v>38</v>
      </c>
      <c r="E30" s="3" t="s">
        <v>41</v>
      </c>
      <c r="F30" s="2" t="n">
        <v>0</v>
      </c>
      <c r="G30" s="2" t="n">
        <v>2</v>
      </c>
      <c r="H30" s="3" t="s">
        <v>42</v>
      </c>
      <c r="I30" s="3"/>
    </row>
    <row r="31" customFormat="false" ht="15" hidden="false" customHeight="false" outlineLevel="0" collapsed="false">
      <c r="A31" s="2" t="n">
        <v>30</v>
      </c>
      <c r="B31" s="2" t="s">
        <v>9</v>
      </c>
      <c r="C31" s="2" t="s">
        <v>39</v>
      </c>
      <c r="D31" s="2" t="s">
        <v>38</v>
      </c>
      <c r="E31" s="3" t="s">
        <v>43</v>
      </c>
      <c r="F31" s="2" t="n">
        <v>2</v>
      </c>
      <c r="G31" s="2" t="n">
        <v>1</v>
      </c>
      <c r="H31" s="3" t="s">
        <v>40</v>
      </c>
      <c r="I31" s="3"/>
    </row>
    <row r="32" customFormat="false" ht="15" hidden="false" customHeight="false" outlineLevel="0" collapsed="false">
      <c r="A32" s="2" t="n">
        <v>31</v>
      </c>
      <c r="B32" s="2" t="s">
        <v>9</v>
      </c>
      <c r="C32" s="2" t="s">
        <v>44</v>
      </c>
      <c r="D32" s="2" t="s">
        <v>29</v>
      </c>
      <c r="E32" s="3" t="s">
        <v>45</v>
      </c>
      <c r="F32" s="2" t="n">
        <v>2</v>
      </c>
      <c r="G32" s="2" t="n">
        <v>2</v>
      </c>
      <c r="H32" s="3" t="s">
        <v>46</v>
      </c>
      <c r="I32" s="3"/>
    </row>
    <row r="33" customFormat="false" ht="15" hidden="false" customHeight="false" outlineLevel="0" collapsed="false">
      <c r="A33" s="2" t="n">
        <v>32</v>
      </c>
      <c r="B33" s="2" t="s">
        <v>9</v>
      </c>
      <c r="C33" s="2" t="s">
        <v>44</v>
      </c>
      <c r="D33" s="2" t="s">
        <v>47</v>
      </c>
      <c r="E33" s="3" t="s">
        <v>48</v>
      </c>
      <c r="F33" s="2" t="n">
        <v>5</v>
      </c>
      <c r="G33" s="2" t="n">
        <v>1</v>
      </c>
      <c r="H33" s="3" t="s">
        <v>49</v>
      </c>
      <c r="I33" s="3"/>
    </row>
    <row r="34" customFormat="false" ht="15" hidden="false" customHeight="false" outlineLevel="0" collapsed="false">
      <c r="A34" s="2" t="n">
        <v>33</v>
      </c>
      <c r="B34" s="2" t="s">
        <v>9</v>
      </c>
      <c r="C34" s="2" t="s">
        <v>44</v>
      </c>
      <c r="D34" s="2" t="s">
        <v>32</v>
      </c>
      <c r="E34" s="3" t="s">
        <v>45</v>
      </c>
      <c r="F34" s="2" t="n">
        <v>5</v>
      </c>
      <c r="G34" s="2" t="n">
        <v>1</v>
      </c>
      <c r="H34" s="3" t="s">
        <v>48</v>
      </c>
      <c r="I34" s="3"/>
    </row>
    <row r="35" customFormat="false" ht="15" hidden="false" customHeight="false" outlineLevel="0" collapsed="false">
      <c r="A35" s="2" t="n">
        <v>34</v>
      </c>
      <c r="B35" s="2" t="s">
        <v>9</v>
      </c>
      <c r="C35" s="2" t="s">
        <v>44</v>
      </c>
      <c r="D35" s="2" t="s">
        <v>50</v>
      </c>
      <c r="E35" s="3" t="s">
        <v>49</v>
      </c>
      <c r="F35" s="2" t="n">
        <v>0</v>
      </c>
      <c r="G35" s="2" t="n">
        <v>4</v>
      </c>
      <c r="H35" s="3" t="s">
        <v>46</v>
      </c>
      <c r="I35" s="3"/>
    </row>
    <row r="36" customFormat="false" ht="15" hidden="false" customHeight="false" outlineLevel="0" collapsed="false">
      <c r="A36" s="2" t="n">
        <v>35</v>
      </c>
      <c r="B36" s="2" t="s">
        <v>9</v>
      </c>
      <c r="C36" s="2" t="s">
        <v>44</v>
      </c>
      <c r="D36" s="2" t="s">
        <v>38</v>
      </c>
      <c r="E36" s="3" t="s">
        <v>46</v>
      </c>
      <c r="F36" s="2" t="n">
        <v>1</v>
      </c>
      <c r="G36" s="2" t="n">
        <v>1</v>
      </c>
      <c r="H36" s="3" t="s">
        <v>48</v>
      </c>
      <c r="I36" s="3"/>
    </row>
    <row r="37" customFormat="false" ht="15" hidden="false" customHeight="false" outlineLevel="0" collapsed="false">
      <c r="A37" s="2" t="n">
        <v>36</v>
      </c>
      <c r="B37" s="2" t="s">
        <v>9</v>
      </c>
      <c r="C37" s="2" t="s">
        <v>44</v>
      </c>
      <c r="D37" s="2" t="s">
        <v>38</v>
      </c>
      <c r="E37" s="3" t="s">
        <v>49</v>
      </c>
      <c r="F37" s="2" t="n">
        <v>1</v>
      </c>
      <c r="G37" s="2" t="n">
        <v>3</v>
      </c>
      <c r="H37" s="3" t="s">
        <v>45</v>
      </c>
      <c r="I37" s="3"/>
    </row>
    <row r="38" customFormat="false" ht="15" hidden="false" customHeight="false" outlineLevel="0" collapsed="false">
      <c r="A38" s="2" t="n">
        <v>37</v>
      </c>
      <c r="B38" s="2" t="s">
        <v>9</v>
      </c>
      <c r="C38" s="2" t="s">
        <v>51</v>
      </c>
      <c r="D38" s="2" t="s">
        <v>47</v>
      </c>
      <c r="E38" s="3" t="s">
        <v>52</v>
      </c>
      <c r="F38" s="2" t="n">
        <v>1</v>
      </c>
      <c r="G38" s="2" t="n">
        <v>1</v>
      </c>
      <c r="H38" s="3" t="s">
        <v>53</v>
      </c>
      <c r="I38" s="3"/>
    </row>
    <row r="39" customFormat="false" ht="15" hidden="false" customHeight="false" outlineLevel="0" collapsed="false">
      <c r="A39" s="2" t="n">
        <v>38</v>
      </c>
      <c r="B39" s="2" t="s">
        <v>9</v>
      </c>
      <c r="C39" s="2" t="s">
        <v>51</v>
      </c>
      <c r="D39" s="2" t="s">
        <v>47</v>
      </c>
      <c r="E39" s="3" t="s">
        <v>54</v>
      </c>
      <c r="F39" s="2" t="n">
        <v>2</v>
      </c>
      <c r="G39" s="2" t="n">
        <v>2</v>
      </c>
      <c r="H39" s="3" t="s">
        <v>55</v>
      </c>
      <c r="I39" s="3"/>
    </row>
    <row r="40" customFormat="false" ht="15" hidden="false" customHeight="false" outlineLevel="0" collapsed="false">
      <c r="A40" s="2" t="n">
        <v>39</v>
      </c>
      <c r="B40" s="2" t="s">
        <v>9</v>
      </c>
      <c r="C40" s="2" t="s">
        <v>51</v>
      </c>
      <c r="D40" s="2" t="s">
        <v>50</v>
      </c>
      <c r="E40" s="3" t="s">
        <v>52</v>
      </c>
      <c r="F40" s="2" t="n">
        <v>0</v>
      </c>
      <c r="G40" s="2" t="n">
        <v>0</v>
      </c>
      <c r="H40" s="3" t="s">
        <v>54</v>
      </c>
      <c r="I40" s="3"/>
    </row>
    <row r="41" customFormat="false" ht="15" hidden="false" customHeight="false" outlineLevel="0" collapsed="false">
      <c r="A41" s="2" t="n">
        <v>40</v>
      </c>
      <c r="B41" s="2" t="s">
        <v>9</v>
      </c>
      <c r="C41" s="2" t="s">
        <v>51</v>
      </c>
      <c r="D41" s="2" t="s">
        <v>56</v>
      </c>
      <c r="E41" s="3" t="s">
        <v>55</v>
      </c>
      <c r="F41" s="2" t="n">
        <v>1</v>
      </c>
      <c r="G41" s="2" t="n">
        <v>3</v>
      </c>
      <c r="H41" s="3" t="s">
        <v>53</v>
      </c>
      <c r="I41" s="3"/>
    </row>
    <row r="42" customFormat="false" ht="15" hidden="false" customHeight="false" outlineLevel="0" collapsed="false">
      <c r="A42" s="2" t="n">
        <v>41</v>
      </c>
      <c r="B42" s="2" t="s">
        <v>9</v>
      </c>
      <c r="C42" s="2" t="s">
        <v>51</v>
      </c>
      <c r="D42" s="2" t="s">
        <v>57</v>
      </c>
      <c r="E42" s="3" t="s">
        <v>53</v>
      </c>
      <c r="F42" s="2" t="n">
        <v>1</v>
      </c>
      <c r="G42" s="2" t="n">
        <v>1</v>
      </c>
      <c r="H42" s="3" t="s">
        <v>54</v>
      </c>
      <c r="I42" s="3"/>
    </row>
    <row r="43" customFormat="false" ht="15" hidden="false" customHeight="false" outlineLevel="0" collapsed="false">
      <c r="A43" s="2" t="n">
        <v>42</v>
      </c>
      <c r="B43" s="2" t="s">
        <v>9</v>
      </c>
      <c r="C43" s="2" t="s">
        <v>51</v>
      </c>
      <c r="D43" s="2" t="s">
        <v>57</v>
      </c>
      <c r="E43" s="3" t="s">
        <v>55</v>
      </c>
      <c r="F43" s="2" t="n">
        <v>1</v>
      </c>
      <c r="G43" s="2" t="n">
        <v>5</v>
      </c>
      <c r="H43" s="3" t="s">
        <v>52</v>
      </c>
      <c r="I43" s="3"/>
    </row>
    <row r="44" customFormat="false" ht="15" hidden="false" customHeight="false" outlineLevel="0" collapsed="false">
      <c r="A44" s="2" t="n">
        <v>43</v>
      </c>
      <c r="B44" s="2" t="s">
        <v>9</v>
      </c>
      <c r="C44" s="2" t="s">
        <v>58</v>
      </c>
      <c r="D44" s="2" t="s">
        <v>47</v>
      </c>
      <c r="E44" s="3" t="s">
        <v>59</v>
      </c>
      <c r="F44" s="2" t="n">
        <v>0</v>
      </c>
      <c r="G44" s="2" t="n">
        <v>0</v>
      </c>
      <c r="H44" s="3" t="s">
        <v>60</v>
      </c>
      <c r="I44" s="3"/>
    </row>
    <row r="45" customFormat="false" ht="15" hidden="false" customHeight="false" outlineLevel="0" collapsed="false">
      <c r="A45" s="2" t="n">
        <v>44</v>
      </c>
      <c r="B45" s="2" t="s">
        <v>9</v>
      </c>
      <c r="C45" s="2" t="s">
        <v>58</v>
      </c>
      <c r="D45" s="2" t="s">
        <v>47</v>
      </c>
      <c r="E45" s="3" t="s">
        <v>61</v>
      </c>
      <c r="F45" s="2" t="n">
        <v>1</v>
      </c>
      <c r="G45" s="2" t="n">
        <v>1</v>
      </c>
      <c r="H45" s="3" t="s">
        <v>62</v>
      </c>
      <c r="I45" s="3"/>
    </row>
    <row r="46" customFormat="false" ht="15" hidden="false" customHeight="false" outlineLevel="0" collapsed="false">
      <c r="A46" s="2" t="n">
        <v>45</v>
      </c>
      <c r="B46" s="2" t="s">
        <v>9</v>
      </c>
      <c r="C46" s="2" t="s">
        <v>58</v>
      </c>
      <c r="D46" s="2" t="s">
        <v>50</v>
      </c>
      <c r="E46" s="3" t="s">
        <v>59</v>
      </c>
      <c r="F46" s="2" t="n">
        <v>4</v>
      </c>
      <c r="G46" s="2" t="n">
        <v>0</v>
      </c>
      <c r="H46" s="3" t="s">
        <v>61</v>
      </c>
      <c r="I46" s="3"/>
    </row>
    <row r="47" customFormat="false" ht="15" hidden="false" customHeight="false" outlineLevel="0" collapsed="false">
      <c r="A47" s="2" t="n">
        <v>46</v>
      </c>
      <c r="B47" s="2" t="s">
        <v>9</v>
      </c>
      <c r="C47" s="2" t="s">
        <v>58</v>
      </c>
      <c r="D47" s="2" t="s">
        <v>50</v>
      </c>
      <c r="E47" s="3" t="s">
        <v>62</v>
      </c>
      <c r="F47" s="2" t="n">
        <v>2</v>
      </c>
      <c r="G47" s="2" t="n">
        <v>2</v>
      </c>
      <c r="H47" s="3" t="s">
        <v>60</v>
      </c>
      <c r="I47" s="3"/>
    </row>
    <row r="48" customFormat="false" ht="15" hidden="false" customHeight="false" outlineLevel="0" collapsed="false">
      <c r="A48" s="2" t="n">
        <v>47</v>
      </c>
      <c r="B48" s="2" t="s">
        <v>9</v>
      </c>
      <c r="C48" s="2" t="s">
        <v>58</v>
      </c>
      <c r="D48" s="2" t="s">
        <v>57</v>
      </c>
      <c r="E48" s="3" t="s">
        <v>60</v>
      </c>
      <c r="F48" s="2" t="n">
        <v>0</v>
      </c>
      <c r="G48" s="2" t="n">
        <v>0</v>
      </c>
      <c r="H48" s="3" t="s">
        <v>61</v>
      </c>
      <c r="I48" s="3"/>
    </row>
    <row r="49" customFormat="false" ht="15" hidden="false" customHeight="false" outlineLevel="0" collapsed="false">
      <c r="A49" s="2" t="n">
        <v>48</v>
      </c>
      <c r="B49" s="2" t="s">
        <v>9</v>
      </c>
      <c r="C49" s="2" t="s">
        <v>58</v>
      </c>
      <c r="D49" s="2" t="s">
        <v>57</v>
      </c>
      <c r="E49" s="3" t="s">
        <v>62</v>
      </c>
      <c r="F49" s="2" t="n">
        <v>0</v>
      </c>
      <c r="G49" s="2" t="n">
        <v>1</v>
      </c>
      <c r="H49" s="3" t="s">
        <v>59</v>
      </c>
      <c r="I49" s="3"/>
    </row>
    <row r="50" customFormat="false" ht="15" hidden="false" customHeight="false" outlineLevel="0" collapsed="false">
      <c r="A50" s="2" t="n">
        <v>49</v>
      </c>
      <c r="B50" s="2" t="s">
        <v>9</v>
      </c>
      <c r="C50" s="2" t="s">
        <v>63</v>
      </c>
      <c r="D50" s="2" t="s">
        <v>64</v>
      </c>
      <c r="E50" s="3" t="s">
        <v>65</v>
      </c>
      <c r="F50" s="2" t="n">
        <v>3</v>
      </c>
      <c r="G50" s="2" t="n">
        <v>1</v>
      </c>
      <c r="H50" s="3" t="s">
        <v>66</v>
      </c>
      <c r="I50" s="3"/>
    </row>
    <row r="51" customFormat="false" ht="15" hidden="false" customHeight="false" outlineLevel="0" collapsed="false">
      <c r="A51" s="2" t="n">
        <v>50</v>
      </c>
      <c r="B51" s="2" t="s">
        <v>9</v>
      </c>
      <c r="C51" s="2" t="s">
        <v>63</v>
      </c>
      <c r="D51" s="2" t="s">
        <v>67</v>
      </c>
      <c r="E51" s="3" t="s">
        <v>68</v>
      </c>
      <c r="F51" s="2" t="n">
        <v>1</v>
      </c>
      <c r="G51" s="2" t="n">
        <v>4</v>
      </c>
      <c r="H51" s="3" t="s">
        <v>69</v>
      </c>
      <c r="I51" s="3"/>
    </row>
    <row r="52" customFormat="false" ht="15" hidden="false" customHeight="false" outlineLevel="0" collapsed="false">
      <c r="A52" s="2" t="n">
        <v>51</v>
      </c>
      <c r="B52" s="2" t="s">
        <v>9</v>
      </c>
      <c r="C52" s="2" t="s">
        <v>63</v>
      </c>
      <c r="D52" s="2" t="s">
        <v>56</v>
      </c>
      <c r="E52" s="3" t="s">
        <v>65</v>
      </c>
      <c r="F52" s="2" t="n">
        <v>3</v>
      </c>
      <c r="G52" s="2" t="n">
        <v>0</v>
      </c>
      <c r="H52" s="3" t="s">
        <v>68</v>
      </c>
      <c r="I52" s="3"/>
    </row>
    <row r="53" customFormat="false" ht="15" hidden="false" customHeight="false" outlineLevel="0" collapsed="false">
      <c r="A53" s="2" t="n">
        <v>52</v>
      </c>
      <c r="B53" s="2" t="s">
        <v>9</v>
      </c>
      <c r="C53" s="2" t="s">
        <v>63</v>
      </c>
      <c r="D53" s="2" t="s">
        <v>70</v>
      </c>
      <c r="E53" s="3" t="s">
        <v>69</v>
      </c>
      <c r="F53" s="2" t="n">
        <v>3</v>
      </c>
      <c r="G53" s="2" t="n">
        <v>2</v>
      </c>
      <c r="H53" s="3" t="s">
        <v>66</v>
      </c>
      <c r="I53" s="3"/>
    </row>
    <row r="54" customFormat="false" ht="15" hidden="false" customHeight="false" outlineLevel="0" collapsed="false">
      <c r="A54" s="2" t="n">
        <v>53</v>
      </c>
      <c r="B54" s="2" t="s">
        <v>9</v>
      </c>
      <c r="C54" s="2" t="s">
        <v>63</v>
      </c>
      <c r="D54" s="2" t="s">
        <v>57</v>
      </c>
      <c r="E54" s="3" t="s">
        <v>69</v>
      </c>
      <c r="F54" s="2" t="n">
        <v>1</v>
      </c>
      <c r="G54" s="2" t="n">
        <v>4</v>
      </c>
      <c r="H54" s="3" t="s">
        <v>65</v>
      </c>
      <c r="I54" s="3"/>
    </row>
    <row r="55" customFormat="false" ht="15" hidden="false" customHeight="false" outlineLevel="0" collapsed="false">
      <c r="A55" s="2" t="n">
        <v>54</v>
      </c>
      <c r="B55" s="2" t="s">
        <v>9</v>
      </c>
      <c r="C55" s="2" t="s">
        <v>63</v>
      </c>
      <c r="D55" s="2" t="s">
        <v>57</v>
      </c>
      <c r="E55" s="3" t="s">
        <v>66</v>
      </c>
      <c r="F55" s="2" t="n">
        <v>5</v>
      </c>
      <c r="G55" s="2" t="n">
        <v>0</v>
      </c>
      <c r="H55" s="3" t="s">
        <v>68</v>
      </c>
      <c r="I55" s="3"/>
    </row>
    <row r="56" customFormat="false" ht="15" hidden="false" customHeight="false" outlineLevel="0" collapsed="false">
      <c r="A56" s="2" t="n">
        <v>55</v>
      </c>
      <c r="B56" s="2" t="s">
        <v>9</v>
      </c>
      <c r="C56" s="2" t="s">
        <v>71</v>
      </c>
      <c r="D56" s="2" t="s">
        <v>64</v>
      </c>
      <c r="E56" s="3" t="s">
        <v>72</v>
      </c>
      <c r="F56" s="2" t="n">
        <v>3</v>
      </c>
      <c r="G56" s="2" t="n">
        <v>0</v>
      </c>
      <c r="H56" s="3" t="s">
        <v>73</v>
      </c>
      <c r="I56" s="3"/>
    </row>
    <row r="57" customFormat="false" ht="15" hidden="false" customHeight="false" outlineLevel="0" collapsed="false">
      <c r="A57" s="2" t="n">
        <v>56</v>
      </c>
      <c r="B57" s="2" t="s">
        <v>9</v>
      </c>
      <c r="C57" s="2" t="s">
        <v>71</v>
      </c>
      <c r="D57" s="2" t="s">
        <v>64</v>
      </c>
      <c r="E57" s="3" t="s">
        <v>74</v>
      </c>
      <c r="F57" s="2" t="n">
        <v>3</v>
      </c>
      <c r="G57" s="2" t="n">
        <v>1</v>
      </c>
      <c r="H57" s="3" t="s">
        <v>75</v>
      </c>
      <c r="I57" s="3"/>
    </row>
    <row r="58" customFormat="false" ht="15" hidden="false" customHeight="false" outlineLevel="0" collapsed="false">
      <c r="A58" s="2" t="n">
        <v>57</v>
      </c>
      <c r="B58" s="2" t="s">
        <v>9</v>
      </c>
      <c r="C58" s="2" t="s">
        <v>71</v>
      </c>
      <c r="D58" s="2" t="s">
        <v>56</v>
      </c>
      <c r="E58" s="3" t="s">
        <v>72</v>
      </c>
      <c r="F58" s="2" t="n">
        <v>2</v>
      </c>
      <c r="G58" s="2" t="n">
        <v>0</v>
      </c>
      <c r="H58" s="3" t="s">
        <v>74</v>
      </c>
      <c r="I58" s="3"/>
    </row>
    <row r="59" customFormat="false" ht="15" hidden="false" customHeight="false" outlineLevel="0" collapsed="false">
      <c r="A59" s="2" t="n">
        <v>58</v>
      </c>
      <c r="B59" s="2" t="s">
        <v>9</v>
      </c>
      <c r="C59" s="2" t="s">
        <v>71</v>
      </c>
      <c r="D59" s="2" t="s">
        <v>56</v>
      </c>
      <c r="E59" s="3" t="s">
        <v>75</v>
      </c>
      <c r="F59" s="2" t="n">
        <v>1</v>
      </c>
      <c r="G59" s="2" t="n">
        <v>2</v>
      </c>
      <c r="H59" s="3" t="s">
        <v>73</v>
      </c>
      <c r="I59" s="3"/>
    </row>
    <row r="60" customFormat="false" ht="15" hidden="false" customHeight="false" outlineLevel="0" collapsed="false">
      <c r="A60" s="2" t="n">
        <v>59</v>
      </c>
      <c r="B60" s="2" t="s">
        <v>9</v>
      </c>
      <c r="C60" s="2" t="s">
        <v>71</v>
      </c>
      <c r="D60" s="2" t="s">
        <v>76</v>
      </c>
      <c r="E60" s="3" t="s">
        <v>73</v>
      </c>
      <c r="F60" s="2" t="n">
        <v>3</v>
      </c>
      <c r="G60" s="2" t="n">
        <v>3</v>
      </c>
      <c r="H60" s="3" t="s">
        <v>74</v>
      </c>
      <c r="I60" s="3"/>
    </row>
    <row r="61" customFormat="false" ht="15" hidden="false" customHeight="false" outlineLevel="0" collapsed="false">
      <c r="A61" s="2" t="n">
        <v>60</v>
      </c>
      <c r="B61" s="2" t="s">
        <v>9</v>
      </c>
      <c r="C61" s="2" t="s">
        <v>71</v>
      </c>
      <c r="D61" s="2" t="s">
        <v>76</v>
      </c>
      <c r="E61" s="3" t="s">
        <v>75</v>
      </c>
      <c r="F61" s="2" t="n">
        <v>1</v>
      </c>
      <c r="G61" s="2" t="n">
        <v>3</v>
      </c>
      <c r="H61" s="3" t="s">
        <v>72</v>
      </c>
      <c r="I61" s="3"/>
    </row>
    <row r="62" customFormat="false" ht="15" hidden="false" customHeight="false" outlineLevel="0" collapsed="false">
      <c r="A62" s="2" t="n">
        <v>61</v>
      </c>
      <c r="B62" s="2" t="s">
        <v>9</v>
      </c>
      <c r="C62" s="2" t="s">
        <v>77</v>
      </c>
      <c r="D62" s="2" t="s">
        <v>67</v>
      </c>
      <c r="E62" s="3" t="s">
        <v>78</v>
      </c>
      <c r="F62" s="2" t="n">
        <v>1</v>
      </c>
      <c r="G62" s="2" t="n">
        <v>1</v>
      </c>
      <c r="H62" s="3" t="s">
        <v>79</v>
      </c>
      <c r="I62" s="3"/>
    </row>
    <row r="63" customFormat="false" ht="15" hidden="false" customHeight="false" outlineLevel="0" collapsed="false">
      <c r="A63" s="2" t="n">
        <v>62</v>
      </c>
      <c r="B63" s="2" t="s">
        <v>9</v>
      </c>
      <c r="C63" s="2" t="s">
        <v>77</v>
      </c>
      <c r="D63" s="2" t="s">
        <v>67</v>
      </c>
      <c r="E63" s="3" t="s">
        <v>80</v>
      </c>
      <c r="F63" s="2" t="n">
        <v>1</v>
      </c>
      <c r="G63" s="2" t="n">
        <v>3</v>
      </c>
      <c r="H63" s="3" t="s">
        <v>81</v>
      </c>
      <c r="I63" s="3"/>
    </row>
    <row r="64" customFormat="false" ht="15" hidden="false" customHeight="false" outlineLevel="0" collapsed="false">
      <c r="A64" s="2" t="n">
        <v>63</v>
      </c>
      <c r="B64" s="2" t="s">
        <v>9</v>
      </c>
      <c r="C64" s="2" t="s">
        <v>77</v>
      </c>
      <c r="D64" s="2" t="s">
        <v>70</v>
      </c>
      <c r="E64" s="3" t="s">
        <v>78</v>
      </c>
      <c r="F64" s="2" t="n">
        <v>5</v>
      </c>
      <c r="G64" s="2" t="n">
        <v>0</v>
      </c>
      <c r="H64" s="3" t="s">
        <v>80</v>
      </c>
      <c r="I64" s="3"/>
    </row>
    <row r="65" customFormat="false" ht="15" hidden="false" customHeight="false" outlineLevel="0" collapsed="false">
      <c r="A65" s="2" t="n">
        <v>64</v>
      </c>
      <c r="B65" s="2" t="s">
        <v>9</v>
      </c>
      <c r="C65" s="2" t="s">
        <v>77</v>
      </c>
      <c r="D65" s="2" t="s">
        <v>70</v>
      </c>
      <c r="E65" s="3" t="s">
        <v>81</v>
      </c>
      <c r="F65" s="2" t="n">
        <v>1</v>
      </c>
      <c r="G65" s="2" t="n">
        <v>0</v>
      </c>
      <c r="H65" s="3" t="s">
        <v>79</v>
      </c>
      <c r="I65" s="3"/>
    </row>
    <row r="66" customFormat="false" ht="15" hidden="false" customHeight="false" outlineLevel="0" collapsed="false">
      <c r="A66" s="2" t="n">
        <v>65</v>
      </c>
      <c r="B66" s="2" t="s">
        <v>9</v>
      </c>
      <c r="C66" s="2" t="s">
        <v>77</v>
      </c>
      <c r="D66" s="2" t="s">
        <v>76</v>
      </c>
      <c r="E66" s="3" t="s">
        <v>81</v>
      </c>
      <c r="F66" s="2" t="n">
        <v>0</v>
      </c>
      <c r="G66" s="2" t="n">
        <v>0</v>
      </c>
      <c r="H66" s="3" t="s">
        <v>78</v>
      </c>
      <c r="I66" s="3"/>
    </row>
    <row r="67" customFormat="false" ht="15" hidden="false" customHeight="false" outlineLevel="0" collapsed="false">
      <c r="A67" s="2" t="n">
        <v>66</v>
      </c>
      <c r="B67" s="2" t="s">
        <v>9</v>
      </c>
      <c r="C67" s="2" t="s">
        <v>77</v>
      </c>
      <c r="D67" s="2" t="s">
        <v>76</v>
      </c>
      <c r="E67" s="3" t="s">
        <v>79</v>
      </c>
      <c r="F67" s="2" t="n">
        <v>3</v>
      </c>
      <c r="G67" s="2" t="n">
        <v>1</v>
      </c>
      <c r="H67" s="3" t="s">
        <v>80</v>
      </c>
      <c r="I67" s="3"/>
    </row>
    <row r="68" customFormat="false" ht="15" hidden="false" customHeight="false" outlineLevel="0" collapsed="false">
      <c r="A68" s="2" t="n">
        <v>67</v>
      </c>
      <c r="B68" s="2" t="s">
        <v>9</v>
      </c>
      <c r="C68" s="2" t="s">
        <v>82</v>
      </c>
      <c r="D68" s="2" t="s">
        <v>67</v>
      </c>
      <c r="E68" s="3" t="s">
        <v>83</v>
      </c>
      <c r="F68" s="2" t="n">
        <v>4</v>
      </c>
      <c r="G68" s="2" t="n">
        <v>2</v>
      </c>
      <c r="H68" s="3" t="s">
        <v>84</v>
      </c>
      <c r="I68" s="3"/>
    </row>
    <row r="69" customFormat="false" ht="15" hidden="false" customHeight="false" outlineLevel="0" collapsed="false">
      <c r="A69" s="2" t="n">
        <v>68</v>
      </c>
      <c r="B69" s="2" t="s">
        <v>9</v>
      </c>
      <c r="C69" s="2" t="s">
        <v>82</v>
      </c>
      <c r="D69" s="2" t="s">
        <v>67</v>
      </c>
      <c r="E69" s="3" t="s">
        <v>85</v>
      </c>
      <c r="F69" s="2" t="n">
        <v>1</v>
      </c>
      <c r="G69" s="2" t="n">
        <v>0</v>
      </c>
      <c r="H69" s="3" t="s">
        <v>86</v>
      </c>
      <c r="I69" s="3"/>
    </row>
    <row r="70" customFormat="false" ht="15" hidden="false" customHeight="false" outlineLevel="0" collapsed="false">
      <c r="A70" s="2" t="n">
        <v>69</v>
      </c>
      <c r="B70" s="2" t="s">
        <v>9</v>
      </c>
      <c r="C70" s="2" t="s">
        <v>82</v>
      </c>
      <c r="D70" s="2" t="s">
        <v>70</v>
      </c>
      <c r="E70" s="3" t="s">
        <v>83</v>
      </c>
      <c r="F70" s="2" t="n">
        <v>0</v>
      </c>
      <c r="G70" s="2" t="n">
        <v>0</v>
      </c>
      <c r="H70" s="3" t="s">
        <v>85</v>
      </c>
      <c r="I70" s="3"/>
    </row>
    <row r="71" customFormat="false" ht="15" hidden="false" customHeight="false" outlineLevel="0" collapsed="false">
      <c r="A71" s="2" t="n">
        <v>70</v>
      </c>
      <c r="B71" s="2" t="s">
        <v>9</v>
      </c>
      <c r="C71" s="2" t="s">
        <v>82</v>
      </c>
      <c r="D71" s="2" t="s">
        <v>70</v>
      </c>
      <c r="E71" s="3" t="s">
        <v>86</v>
      </c>
      <c r="F71" s="2" t="n">
        <v>0</v>
      </c>
      <c r="G71" s="2" t="n">
        <v>1</v>
      </c>
      <c r="H71" s="3" t="s">
        <v>84</v>
      </c>
      <c r="I71" s="3"/>
    </row>
    <row r="72" customFormat="false" ht="15" hidden="false" customHeight="false" outlineLevel="0" collapsed="false">
      <c r="A72" s="2" t="n">
        <v>71</v>
      </c>
      <c r="B72" s="2" t="s">
        <v>9</v>
      </c>
      <c r="C72" s="2" t="s">
        <v>82</v>
      </c>
      <c r="D72" s="2" t="s">
        <v>76</v>
      </c>
      <c r="E72" s="3" t="s">
        <v>86</v>
      </c>
      <c r="F72" s="2" t="n">
        <v>0</v>
      </c>
      <c r="G72" s="2" t="n">
        <v>2</v>
      </c>
      <c r="H72" s="3" t="s">
        <v>83</v>
      </c>
      <c r="I72" s="3"/>
    </row>
    <row r="73" customFormat="false" ht="15" hidden="false" customHeight="false" outlineLevel="0" collapsed="false">
      <c r="A73" s="2" t="n">
        <v>72</v>
      </c>
      <c r="B73" s="2" t="s">
        <v>9</v>
      </c>
      <c r="C73" s="2" t="s">
        <v>82</v>
      </c>
      <c r="D73" s="2" t="s">
        <v>76</v>
      </c>
      <c r="E73" s="3" t="s">
        <v>84</v>
      </c>
      <c r="F73" s="2" t="n">
        <v>2</v>
      </c>
      <c r="G73" s="2" t="n">
        <v>1</v>
      </c>
      <c r="H73" s="3" t="s">
        <v>85</v>
      </c>
      <c r="I73" s="3"/>
    </row>
    <row r="74" customFormat="false" ht="15" hidden="false" customHeight="false" outlineLevel="0" collapsed="false">
      <c r="A74" s="4" t="n">
        <v>73</v>
      </c>
      <c r="B74" s="4" t="s">
        <v>87</v>
      </c>
      <c r="C74" s="4"/>
      <c r="D74" s="4" t="s">
        <v>88</v>
      </c>
      <c r="E74" s="5" t="s">
        <v>20</v>
      </c>
      <c r="F74" s="4" t="n">
        <v>1</v>
      </c>
      <c r="G74" s="4" t="n">
        <v>0</v>
      </c>
      <c r="H74" s="5" t="s">
        <v>13</v>
      </c>
      <c r="I74" s="5"/>
    </row>
    <row r="75" customFormat="false" ht="15" hidden="false" customHeight="false" outlineLevel="0" collapsed="false">
      <c r="A75" s="4" t="n">
        <v>74</v>
      </c>
      <c r="B75" s="4" t="s">
        <v>87</v>
      </c>
      <c r="C75" s="4"/>
      <c r="D75" s="4" t="s">
        <v>89</v>
      </c>
      <c r="E75" s="5" t="s">
        <v>27</v>
      </c>
      <c r="F75" s="4" t="n">
        <v>2</v>
      </c>
      <c r="G75" s="4" t="n">
        <v>1</v>
      </c>
      <c r="H75" s="5" t="s">
        <v>46</v>
      </c>
      <c r="I75" s="5"/>
    </row>
    <row r="76" customFormat="false" ht="15" hidden="false" customHeight="false" outlineLevel="0" collapsed="false">
      <c r="A76" s="4" t="n">
        <v>75</v>
      </c>
      <c r="B76" s="4" t="s">
        <v>87</v>
      </c>
      <c r="C76" s="4"/>
      <c r="D76" s="4" t="s">
        <v>89</v>
      </c>
      <c r="E76" s="5" t="s">
        <v>35</v>
      </c>
      <c r="F76" s="4" t="n">
        <v>1</v>
      </c>
      <c r="G76" s="4" t="n">
        <v>1</v>
      </c>
      <c r="H76" s="5" t="s">
        <v>40</v>
      </c>
      <c r="I76" s="5" t="s">
        <v>90</v>
      </c>
    </row>
    <row r="77" customFormat="false" ht="15" hidden="false" customHeight="false" outlineLevel="0" collapsed="false">
      <c r="A77" s="4" t="n">
        <v>76</v>
      </c>
      <c r="B77" s="4" t="s">
        <v>87</v>
      </c>
      <c r="C77" s="4"/>
      <c r="D77" s="4" t="s">
        <v>91</v>
      </c>
      <c r="E77" s="5" t="s">
        <v>28</v>
      </c>
      <c r="F77" s="4" t="n">
        <v>1</v>
      </c>
      <c r="G77" s="4" t="n">
        <v>1</v>
      </c>
      <c r="H77" s="5" t="s">
        <v>45</v>
      </c>
      <c r="I77" s="5" t="s">
        <v>92</v>
      </c>
    </row>
    <row r="78" customFormat="false" ht="15" hidden="false" customHeight="false" outlineLevel="0" collapsed="false">
      <c r="A78" s="4" t="n">
        <v>77</v>
      </c>
      <c r="B78" s="4" t="s">
        <v>87</v>
      </c>
      <c r="C78" s="4"/>
      <c r="D78" s="4" t="s">
        <v>91</v>
      </c>
      <c r="E78" s="5" t="s">
        <v>69</v>
      </c>
      <c r="F78" s="4" t="n">
        <v>2</v>
      </c>
      <c r="G78" s="4" t="n">
        <v>1</v>
      </c>
      <c r="H78" s="5" t="s">
        <v>42</v>
      </c>
      <c r="I78" s="5"/>
    </row>
    <row r="79" customFormat="false" ht="15" hidden="false" customHeight="false" outlineLevel="0" collapsed="false">
      <c r="A79" s="4" t="n">
        <v>78</v>
      </c>
      <c r="B79" s="4" t="s">
        <v>87</v>
      </c>
      <c r="C79" s="4"/>
      <c r="D79" s="4" t="s">
        <v>93</v>
      </c>
      <c r="E79" s="5" t="s">
        <v>65</v>
      </c>
      <c r="F79" s="4" t="n">
        <v>3</v>
      </c>
      <c r="G79" s="4" t="n">
        <v>0</v>
      </c>
      <c r="H79" s="5" t="s">
        <v>48</v>
      </c>
      <c r="I79" s="5"/>
    </row>
    <row r="80" customFormat="false" ht="15" hidden="false" customHeight="false" outlineLevel="0" collapsed="false">
      <c r="A80" s="4" t="n">
        <v>79</v>
      </c>
      <c r="B80" s="4" t="s">
        <v>87</v>
      </c>
      <c r="C80" s="4"/>
      <c r="D80" s="4" t="s">
        <v>93</v>
      </c>
      <c r="E80" s="5" t="s">
        <v>12</v>
      </c>
      <c r="F80" s="4" t="n">
        <v>2</v>
      </c>
      <c r="G80" s="4" t="n">
        <v>0</v>
      </c>
      <c r="H80" s="5" t="s">
        <v>43</v>
      </c>
      <c r="I80" s="5"/>
    </row>
    <row r="81" customFormat="false" ht="15" hidden="false" customHeight="false" outlineLevel="0" collapsed="false">
      <c r="A81" s="4" t="n">
        <v>80</v>
      </c>
      <c r="B81" s="4" t="s">
        <v>87</v>
      </c>
      <c r="C81" s="4"/>
      <c r="D81" s="4" t="s">
        <v>93</v>
      </c>
      <c r="E81" s="5" t="s">
        <v>83</v>
      </c>
      <c r="F81" s="4" t="n">
        <v>2</v>
      </c>
      <c r="G81" s="4" t="n">
        <v>1</v>
      </c>
      <c r="H81" s="5" t="s">
        <v>79</v>
      </c>
      <c r="I81" s="5"/>
    </row>
    <row r="82" customFormat="false" ht="15" hidden="false" customHeight="false" outlineLevel="0" collapsed="false">
      <c r="A82" s="4" t="n">
        <v>81</v>
      </c>
      <c r="B82" s="4" t="s">
        <v>87</v>
      </c>
      <c r="C82" s="4"/>
      <c r="D82" s="4" t="s">
        <v>94</v>
      </c>
      <c r="E82" s="5" t="s">
        <v>52</v>
      </c>
      <c r="F82" s="4" t="n">
        <v>3</v>
      </c>
      <c r="G82" s="4" t="n">
        <v>2</v>
      </c>
      <c r="H82" s="5" t="s">
        <v>66</v>
      </c>
      <c r="I82" s="5" t="s">
        <v>95</v>
      </c>
    </row>
    <row r="83" customFormat="false" ht="15" hidden="false" customHeight="false" outlineLevel="0" collapsed="false">
      <c r="A83" s="4" t="n">
        <v>82</v>
      </c>
      <c r="B83" s="4" t="s">
        <v>87</v>
      </c>
      <c r="C83" s="4"/>
      <c r="D83" s="4" t="s">
        <v>94</v>
      </c>
      <c r="E83" s="5" t="s">
        <v>34</v>
      </c>
      <c r="F83" s="4" t="n">
        <v>2</v>
      </c>
      <c r="G83" s="4" t="n">
        <v>0</v>
      </c>
      <c r="H83" s="5" t="s">
        <v>21</v>
      </c>
      <c r="I83" s="5"/>
    </row>
    <row r="84" customFormat="false" ht="15" hidden="false" customHeight="false" outlineLevel="0" collapsed="false">
      <c r="A84" s="4" t="n">
        <v>83</v>
      </c>
      <c r="B84" s="4" t="s">
        <v>87</v>
      </c>
      <c r="C84" s="4"/>
      <c r="D84" s="4" t="s">
        <v>94</v>
      </c>
      <c r="E84" s="5" t="s">
        <v>59</v>
      </c>
      <c r="F84" s="4" t="n">
        <v>3</v>
      </c>
      <c r="G84" s="4" t="n">
        <v>0</v>
      </c>
      <c r="H84" s="5" t="s">
        <v>74</v>
      </c>
      <c r="I84" s="5"/>
    </row>
    <row r="85" customFormat="false" ht="15" hidden="false" customHeight="false" outlineLevel="0" collapsed="false">
      <c r="A85" s="4" t="n">
        <v>84</v>
      </c>
      <c r="B85" s="4" t="s">
        <v>87</v>
      </c>
      <c r="C85" s="4"/>
      <c r="D85" s="4" t="s">
        <v>94</v>
      </c>
      <c r="E85" s="5" t="s">
        <v>78</v>
      </c>
      <c r="F85" s="4" t="n">
        <v>2</v>
      </c>
      <c r="G85" s="4" t="n">
        <v>1</v>
      </c>
      <c r="H85" s="5" t="s">
        <v>84</v>
      </c>
      <c r="I85" s="5"/>
    </row>
    <row r="86" customFormat="false" ht="15" hidden="false" customHeight="false" outlineLevel="0" collapsed="false">
      <c r="A86" s="4" t="n">
        <v>85</v>
      </c>
      <c r="B86" s="4" t="s">
        <v>87</v>
      </c>
      <c r="C86" s="4"/>
      <c r="D86" s="4" t="s">
        <v>96</v>
      </c>
      <c r="E86" s="5" t="s">
        <v>24</v>
      </c>
      <c r="F86" s="4" t="n">
        <v>2</v>
      </c>
      <c r="G86" s="4" t="n">
        <v>0</v>
      </c>
      <c r="H86" s="5" t="s">
        <v>73</v>
      </c>
      <c r="I86" s="5"/>
    </row>
    <row r="87" customFormat="false" ht="15" hidden="false" customHeight="false" outlineLevel="0" collapsed="false">
      <c r="A87" s="4" t="n">
        <v>86</v>
      </c>
      <c r="B87" s="4" t="s">
        <v>87</v>
      </c>
      <c r="C87" s="4"/>
      <c r="D87" s="4" t="s">
        <v>96</v>
      </c>
      <c r="E87" s="5" t="s">
        <v>53</v>
      </c>
      <c r="F87" s="4" t="n">
        <v>1</v>
      </c>
      <c r="G87" s="4" t="n">
        <v>1</v>
      </c>
      <c r="H87" s="5" t="s">
        <v>36</v>
      </c>
      <c r="I87" s="5" t="s">
        <v>97</v>
      </c>
    </row>
    <row r="88" customFormat="false" ht="15" hidden="false" customHeight="false" outlineLevel="0" collapsed="false">
      <c r="A88" s="4" t="n">
        <v>87</v>
      </c>
      <c r="B88" s="4" t="s">
        <v>87</v>
      </c>
      <c r="C88" s="4"/>
      <c r="D88" s="4" t="s">
        <v>96</v>
      </c>
      <c r="E88" s="5" t="s">
        <v>72</v>
      </c>
      <c r="F88" s="4" t="n">
        <v>3</v>
      </c>
      <c r="G88" s="4" t="n">
        <v>2</v>
      </c>
      <c r="H88" s="5" t="s">
        <v>60</v>
      </c>
      <c r="I88" s="5" t="s">
        <v>98</v>
      </c>
    </row>
    <row r="89" customFormat="false" ht="15" hidden="false" customHeight="false" outlineLevel="0" collapsed="false">
      <c r="A89" s="4" t="n">
        <v>88</v>
      </c>
      <c r="B89" s="4" t="s">
        <v>87</v>
      </c>
      <c r="C89" s="4"/>
      <c r="D89" s="4" t="s">
        <v>96</v>
      </c>
      <c r="E89" s="5" t="s">
        <v>81</v>
      </c>
      <c r="F89" s="4" t="n">
        <v>1</v>
      </c>
      <c r="G89" s="4" t="n">
        <v>0</v>
      </c>
      <c r="H89" s="5" t="s">
        <v>85</v>
      </c>
      <c r="I89" s="5"/>
    </row>
    <row r="90" customFormat="false" ht="15" hidden="false" customHeight="false" outlineLevel="0" collapsed="false">
      <c r="A90" s="4" t="n">
        <v>89</v>
      </c>
      <c r="B90" s="4" t="s">
        <v>99</v>
      </c>
      <c r="C90" s="4"/>
      <c r="D90" s="4" t="s">
        <v>100</v>
      </c>
      <c r="E90" s="5" t="s">
        <v>28</v>
      </c>
      <c r="F90" s="4" t="n">
        <v>3</v>
      </c>
      <c r="G90" s="4" t="n">
        <v>0</v>
      </c>
      <c r="H90" s="5" t="s">
        <v>20</v>
      </c>
      <c r="I90" s="5"/>
    </row>
    <row r="91" customFormat="false" ht="15" hidden="false" customHeight="false" outlineLevel="0" collapsed="false">
      <c r="A91" s="4" t="n">
        <v>90</v>
      </c>
      <c r="B91" s="4" t="s">
        <v>99</v>
      </c>
      <c r="C91" s="4"/>
      <c r="D91" s="4" t="s">
        <v>100</v>
      </c>
      <c r="E91" s="5" t="s">
        <v>65</v>
      </c>
      <c r="F91" s="4" t="n">
        <v>1</v>
      </c>
      <c r="G91" s="4" t="n">
        <v>0</v>
      </c>
      <c r="H91" s="5" t="s">
        <v>35</v>
      </c>
      <c r="I91" s="5"/>
    </row>
    <row r="92" customFormat="false" ht="15" hidden="false" customHeight="false" outlineLevel="0" collapsed="false">
      <c r="A92" s="4" t="n">
        <v>91</v>
      </c>
      <c r="B92" s="4" t="s">
        <v>99</v>
      </c>
      <c r="C92" s="4"/>
      <c r="D92" s="4" t="s">
        <v>101</v>
      </c>
      <c r="E92" s="5" t="s">
        <v>69</v>
      </c>
      <c r="F92" s="4" t="n">
        <v>2</v>
      </c>
      <c r="G92" s="4" t="n">
        <v>1</v>
      </c>
      <c r="H92" s="5" t="s">
        <v>27</v>
      </c>
      <c r="I92" s="5"/>
    </row>
    <row r="93" customFormat="false" ht="15" hidden="false" customHeight="false" outlineLevel="0" collapsed="false">
      <c r="A93" s="4" t="n">
        <v>92</v>
      </c>
      <c r="B93" s="4" t="s">
        <v>99</v>
      </c>
      <c r="C93" s="4"/>
      <c r="D93" s="4" t="s">
        <v>101</v>
      </c>
      <c r="E93" s="5" t="s">
        <v>83</v>
      </c>
      <c r="F93" s="4" t="n">
        <v>3</v>
      </c>
      <c r="G93" s="4" t="n">
        <v>2</v>
      </c>
      <c r="H93" s="5" t="s">
        <v>12</v>
      </c>
      <c r="I93" s="5"/>
    </row>
    <row r="94" customFormat="false" ht="15" hidden="false" customHeight="false" outlineLevel="0" collapsed="false">
      <c r="A94" s="4" t="n">
        <v>93</v>
      </c>
      <c r="B94" s="4" t="s">
        <v>99</v>
      </c>
      <c r="C94" s="4"/>
      <c r="D94" s="4" t="s">
        <v>102</v>
      </c>
      <c r="E94" s="5" t="s">
        <v>59</v>
      </c>
      <c r="F94" s="4" t="n">
        <v>1</v>
      </c>
      <c r="G94" s="4" t="n">
        <v>0</v>
      </c>
      <c r="H94" s="5" t="s">
        <v>78</v>
      </c>
      <c r="I94" s="5"/>
    </row>
    <row r="95" customFormat="false" ht="15" hidden="false" customHeight="false" outlineLevel="0" collapsed="false">
      <c r="A95" s="4" t="n">
        <v>94</v>
      </c>
      <c r="B95" s="4" t="s">
        <v>99</v>
      </c>
      <c r="C95" s="4"/>
      <c r="D95" s="4" t="s">
        <v>102</v>
      </c>
      <c r="E95" s="5" t="s">
        <v>52</v>
      </c>
      <c r="F95" s="4" t="n">
        <v>4</v>
      </c>
      <c r="G95" s="4" t="n">
        <v>1</v>
      </c>
      <c r="H95" s="5" t="s">
        <v>34</v>
      </c>
      <c r="I95" s="5"/>
    </row>
    <row r="96" customFormat="false" ht="15" hidden="false" customHeight="false" outlineLevel="0" collapsed="false">
      <c r="A96" s="4" t="n">
        <v>95</v>
      </c>
      <c r="B96" s="4" t="s">
        <v>99</v>
      </c>
      <c r="C96" s="4"/>
      <c r="D96" s="4" t="s">
        <v>103</v>
      </c>
      <c r="E96" s="5" t="s">
        <v>72</v>
      </c>
      <c r="F96" s="4" t="n">
        <v>3</v>
      </c>
      <c r="G96" s="4" t="n">
        <v>2</v>
      </c>
      <c r="H96" s="5" t="s">
        <v>53</v>
      </c>
      <c r="I96" s="5"/>
    </row>
    <row r="97" customFormat="false" ht="15" hidden="false" customHeight="false" outlineLevel="0" collapsed="false">
      <c r="A97" s="4" t="n">
        <v>96</v>
      </c>
      <c r="B97" s="4" t="s">
        <v>99</v>
      </c>
      <c r="C97" s="4"/>
      <c r="D97" s="4" t="s">
        <v>103</v>
      </c>
      <c r="E97" s="5" t="s">
        <v>24</v>
      </c>
      <c r="F97" s="4" t="n">
        <v>0</v>
      </c>
      <c r="G97" s="4" t="n">
        <v>0</v>
      </c>
      <c r="H97" s="5" t="s">
        <v>81</v>
      </c>
      <c r="I97" s="5" t="s">
        <v>104</v>
      </c>
    </row>
    <row r="98" customFormat="false" ht="15" hidden="false" customHeight="false" outlineLevel="0" collapsed="false">
      <c r="A98" s="4" t="n">
        <v>97</v>
      </c>
      <c r="B98" s="4" t="s">
        <v>105</v>
      </c>
      <c r="C98" s="4"/>
      <c r="D98" s="4" t="s">
        <v>106</v>
      </c>
      <c r="E98" s="5" t="s">
        <v>65</v>
      </c>
      <c r="F98" s="4" t="n">
        <v>2</v>
      </c>
      <c r="G98" s="4" t="n">
        <v>0</v>
      </c>
      <c r="H98" s="5" t="s">
        <v>28</v>
      </c>
      <c r="I98" s="5"/>
    </row>
    <row r="99" customFormat="false" ht="15" hidden="false" customHeight="false" outlineLevel="0" collapsed="false">
      <c r="A99" s="4" t="n">
        <v>98</v>
      </c>
      <c r="B99" s="4" t="s">
        <v>105</v>
      </c>
      <c r="C99" s="4"/>
      <c r="D99" s="4" t="s">
        <v>107</v>
      </c>
      <c r="E99" s="5" t="s">
        <v>59</v>
      </c>
      <c r="F99" s="4" t="n">
        <v>2</v>
      </c>
      <c r="G99" s="4" t="n">
        <v>1</v>
      </c>
      <c r="H99" s="5" t="s">
        <v>52</v>
      </c>
      <c r="I99" s="5"/>
    </row>
    <row r="100" customFormat="false" ht="15" hidden="false" customHeight="false" outlineLevel="0" collapsed="false">
      <c r="A100" s="4" t="n">
        <v>99</v>
      </c>
      <c r="B100" s="4" t="s">
        <v>105</v>
      </c>
      <c r="C100" s="4"/>
      <c r="D100" s="4" t="s">
        <v>107</v>
      </c>
      <c r="E100" s="5" t="s">
        <v>83</v>
      </c>
      <c r="F100" s="4" t="n">
        <v>2</v>
      </c>
      <c r="G100" s="4" t="n">
        <v>1</v>
      </c>
      <c r="H100" s="5" t="s">
        <v>69</v>
      </c>
      <c r="I100" s="5" t="s">
        <v>108</v>
      </c>
    </row>
    <row r="101" customFormat="false" ht="15" hidden="false" customHeight="false" outlineLevel="0" collapsed="false">
      <c r="A101" s="4" t="n">
        <v>100</v>
      </c>
      <c r="B101" s="4" t="s">
        <v>105</v>
      </c>
      <c r="C101" s="4"/>
      <c r="D101" s="4" t="s">
        <v>109</v>
      </c>
      <c r="E101" s="5" t="s">
        <v>72</v>
      </c>
      <c r="F101" s="4" t="n">
        <v>3</v>
      </c>
      <c r="G101" s="4" t="n">
        <v>1</v>
      </c>
      <c r="H101" s="5" t="s">
        <v>24</v>
      </c>
      <c r="I101" s="5" t="s">
        <v>98</v>
      </c>
    </row>
    <row r="102" customFormat="false" ht="15" hidden="false" customHeight="false" outlineLevel="0" collapsed="false">
      <c r="A102" s="4" t="n">
        <v>101</v>
      </c>
      <c r="B102" s="4" t="s">
        <v>110</v>
      </c>
      <c r="C102" s="4"/>
      <c r="D102" s="4" t="s">
        <v>111</v>
      </c>
      <c r="E102" s="5" t="s">
        <v>59</v>
      </c>
      <c r="F102" s="4" t="n">
        <v>2</v>
      </c>
      <c r="G102" s="4" t="n">
        <v>0</v>
      </c>
      <c r="H102" s="5" t="s">
        <v>65</v>
      </c>
      <c r="I102" s="5"/>
    </row>
    <row r="103" customFormat="false" ht="15" hidden="false" customHeight="false" outlineLevel="0" collapsed="false">
      <c r="A103" s="4" t="n">
        <v>102</v>
      </c>
      <c r="B103" s="4" t="s">
        <v>110</v>
      </c>
      <c r="C103" s="4"/>
      <c r="D103" s="4" t="s">
        <v>112</v>
      </c>
      <c r="E103" s="5" t="s">
        <v>72</v>
      </c>
      <c r="F103" s="4" t="n">
        <v>2</v>
      </c>
      <c r="G103" s="4" t="n">
        <v>1</v>
      </c>
      <c r="H103" s="5" t="s">
        <v>83</v>
      </c>
      <c r="I103" s="5"/>
    </row>
    <row r="104" customFormat="false" ht="15" hidden="false" customHeight="false" outlineLevel="0" collapsed="false">
      <c r="A104" s="4" t="n">
        <v>103</v>
      </c>
      <c r="B104" s="4" t="s">
        <v>113</v>
      </c>
      <c r="C104" s="4"/>
      <c r="D104" s="4" t="s">
        <v>114</v>
      </c>
      <c r="E104" s="5" t="s">
        <v>83</v>
      </c>
      <c r="F104" s="4" t="n">
        <v>6</v>
      </c>
      <c r="G104" s="4" t="n">
        <v>4</v>
      </c>
      <c r="H104" s="5" t="s">
        <v>65</v>
      </c>
      <c r="I104" s="5"/>
    </row>
    <row r="105" customFormat="false" ht="15" hidden="false" customHeight="false" outlineLevel="0" collapsed="false">
      <c r="A105" s="4" t="n">
        <v>104</v>
      </c>
      <c r="B105" s="4" t="s">
        <v>115</v>
      </c>
      <c r="C105" s="4"/>
      <c r="D105" s="4" t="s">
        <v>116</v>
      </c>
      <c r="E105" s="5" t="s">
        <v>59</v>
      </c>
      <c r="F105" s="4" t="n">
        <v>1</v>
      </c>
      <c r="G105" s="4" t="n">
        <v>0</v>
      </c>
      <c r="H105" s="5" t="s">
        <v>72</v>
      </c>
      <c r="I105" s="5" t="s">
        <v>117</v>
      </c>
    </row>
  </sheetData>
  <autoFilter ref="A1:I105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6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24"/>
    <col collapsed="false" customWidth="true" hidden="false" outlineLevel="0" max="10" min="3" style="0" width="6"/>
  </cols>
  <sheetData>
    <row r="1" customFormat="false" ht="15" hidden="false" customHeight="false" outlineLevel="0" collapsed="false">
      <c r="A1" s="1" t="s">
        <v>2</v>
      </c>
      <c r="B1" s="1" t="s">
        <v>118</v>
      </c>
      <c r="C1" s="1" t="s">
        <v>119</v>
      </c>
      <c r="D1" s="1" t="s">
        <v>120</v>
      </c>
      <c r="E1" s="1" t="s">
        <v>33</v>
      </c>
      <c r="F1" s="1" t="s">
        <v>82</v>
      </c>
      <c r="G1" s="1" t="s">
        <v>121</v>
      </c>
      <c r="H1" s="1" t="s">
        <v>122</v>
      </c>
      <c r="I1" s="1" t="s">
        <v>123</v>
      </c>
      <c r="J1" s="1" t="s">
        <v>124</v>
      </c>
    </row>
    <row r="2" customFormat="false" ht="15" hidden="false" customHeight="false" outlineLevel="0" collapsed="false">
      <c r="A2" s="2" t="s">
        <v>10</v>
      </c>
      <c r="B2" s="6" t="s">
        <v>12</v>
      </c>
      <c r="C2" s="2" t="n">
        <f aca="false">SUMPRODUCT(('All Matches'!$C$2:$C$73=$A2)*((('All Matches'!$E$2:$E$73=$B2)+('All Matches'!$H$2:$H$73=$B2))&gt;0))</f>
        <v>3</v>
      </c>
      <c r="D2" s="2" t="n">
        <f aca="false">SUMPRODUCT(('All Matches'!$C$2:$C$73=$A2)*((('All Matches'!$E$2:$E$73=$B2)*('All Matches'!$F$2:$F$73&gt;'All Matches'!$G$2:$G$73))+(('All Matches'!$H$2:$H$73=$B2)*('All Matches'!$G$2:$G$73&gt;'All Matches'!$F$2:$F$73))))</f>
        <v>3</v>
      </c>
      <c r="E2" s="2" t="n">
        <f aca="false">SUMPRODUCT(('All Matches'!$C$2:$C$73=$A2)*((('All Matches'!$E$2:$E$73=$B2)+('All Matches'!$H$2:$H$73=$B2))&gt;0)*('All Matches'!$F$2:$F$73='All Matches'!$G$2:$G$73))</f>
        <v>0</v>
      </c>
      <c r="F2" s="2" t="n">
        <f aca="false">SUMPRODUCT(('All Matches'!$C$2:$C$73=$A2)*((('All Matches'!$E$2:$E$73=$B2)*('All Matches'!$F$2:$F$73&lt;'All Matches'!$G$2:$G$73))+(('All Matches'!$H$2:$H$73=$B2)*('All Matches'!$G$2:$G$73&lt;'All Matches'!$F$2:$F$73))))</f>
        <v>0</v>
      </c>
      <c r="G2" s="2" t="n">
        <f aca="false">SUMIFS('All Matches'!$F$2:$F$73,'All Matches'!$C$2:$C$73,$A2,'All Matches'!$E$2:$E$73,$B2)+SUMIFS('All Matches'!$G$2:$G$73,'All Matches'!$C$2:$C$73,$A2,'All Matches'!$H$2:$H$73,$B2)</f>
        <v>6</v>
      </c>
      <c r="H2" s="2" t="n">
        <f aca="false">SUMIFS('All Matches'!$G$2:$G$73,'All Matches'!$C$2:$C$73,$A2,'All Matches'!$E$2:$E$73,$B2)+SUMIFS('All Matches'!$F$2:$F$73,'All Matches'!$C$2:$C$73,$A2,'All Matches'!$H$2:$H$73,$B2)</f>
        <v>0</v>
      </c>
      <c r="I2" s="2" t="n">
        <f aca="false">G2-H2</f>
        <v>6</v>
      </c>
      <c r="J2" s="2" t="n">
        <f aca="false">3*D2+E2</f>
        <v>9</v>
      </c>
    </row>
    <row r="3" customFormat="false" ht="15" hidden="false" customHeight="false" outlineLevel="0" collapsed="false">
      <c r="A3" s="2" t="s">
        <v>10</v>
      </c>
      <c r="B3" s="6" t="s">
        <v>13</v>
      </c>
      <c r="C3" s="2" t="n">
        <f aca="false">SUMPRODUCT(('All Matches'!$C$2:$C$73=$A3)*((('All Matches'!$E$2:$E$73=$B3)+('All Matches'!$H$2:$H$73=$B3))&gt;0))</f>
        <v>3</v>
      </c>
      <c r="D3" s="2" t="n">
        <f aca="false">SUMPRODUCT(('All Matches'!$C$2:$C$73=$A3)*((('All Matches'!$E$2:$E$73=$B3)*('All Matches'!$F$2:$F$73&gt;'All Matches'!$G$2:$G$73))+(('All Matches'!$H$2:$H$73=$B3)*('All Matches'!$G$2:$G$73&gt;'All Matches'!$F$2:$F$73))))</f>
        <v>1</v>
      </c>
      <c r="E3" s="2" t="n">
        <f aca="false">SUMPRODUCT(('All Matches'!$C$2:$C$73=$A3)*((('All Matches'!$E$2:$E$73=$B3)+('All Matches'!$H$2:$H$73=$B3))&gt;0)*('All Matches'!$F$2:$F$73='All Matches'!$G$2:$G$73))</f>
        <v>1</v>
      </c>
      <c r="F3" s="2" t="n">
        <f aca="false">SUMPRODUCT(('All Matches'!$C$2:$C$73=$A3)*((('All Matches'!$E$2:$E$73=$B3)*('All Matches'!$F$2:$F$73&lt;'All Matches'!$G$2:$G$73))+(('All Matches'!$H$2:$H$73=$B3)*('All Matches'!$G$2:$G$73&lt;'All Matches'!$F$2:$F$73))))</f>
        <v>1</v>
      </c>
      <c r="G3" s="2" t="n">
        <f aca="false">SUMIFS('All Matches'!$F$2:$F$73,'All Matches'!$C$2:$C$73,$A3,'All Matches'!$E$2:$E$73,$B3)+SUMIFS('All Matches'!$G$2:$G$73,'All Matches'!$C$2:$C$73,$A3,'All Matches'!$H$2:$H$73,$B3)</f>
        <v>2</v>
      </c>
      <c r="H3" s="2" t="n">
        <f aca="false">SUMIFS('All Matches'!$G$2:$G$73,'All Matches'!$C$2:$C$73,$A3,'All Matches'!$E$2:$E$73,$B3)+SUMIFS('All Matches'!$F$2:$F$73,'All Matches'!$C$2:$C$73,$A3,'All Matches'!$H$2:$H$73,$B3)</f>
        <v>3</v>
      </c>
      <c r="I3" s="2" t="n">
        <f aca="false">G3-H3</f>
        <v>-1</v>
      </c>
      <c r="J3" s="2" t="n">
        <f aca="false">3*D3+E3</f>
        <v>4</v>
      </c>
    </row>
    <row r="4" customFormat="false" ht="15" hidden="false" customHeight="false" outlineLevel="0" collapsed="false">
      <c r="A4" s="2" t="s">
        <v>10</v>
      </c>
      <c r="B4" s="6" t="s">
        <v>15</v>
      </c>
      <c r="C4" s="2" t="n">
        <f aca="false">SUMPRODUCT(('All Matches'!$C$2:$C$73=$A4)*((('All Matches'!$E$2:$E$73=$B4)+('All Matches'!$H$2:$H$73=$B4))&gt;0))</f>
        <v>3</v>
      </c>
      <c r="D4" s="2" t="n">
        <f aca="false">SUMPRODUCT(('All Matches'!$C$2:$C$73=$A4)*((('All Matches'!$E$2:$E$73=$B4)*('All Matches'!$F$2:$F$73&gt;'All Matches'!$G$2:$G$73))+(('All Matches'!$H$2:$H$73=$B4)*('All Matches'!$G$2:$G$73&gt;'All Matches'!$F$2:$F$73))))</f>
        <v>1</v>
      </c>
      <c r="E4" s="2" t="n">
        <f aca="false">SUMPRODUCT(('All Matches'!$C$2:$C$73=$A4)*((('All Matches'!$E$2:$E$73=$B4)+('All Matches'!$H$2:$H$73=$B4))&gt;0)*('All Matches'!$F$2:$F$73='All Matches'!$G$2:$G$73))</f>
        <v>0</v>
      </c>
      <c r="F4" s="2" t="n">
        <f aca="false">SUMPRODUCT(('All Matches'!$C$2:$C$73=$A4)*((('All Matches'!$E$2:$E$73=$B4)*('All Matches'!$F$2:$F$73&lt;'All Matches'!$G$2:$G$73))+(('All Matches'!$H$2:$H$73=$B4)*('All Matches'!$G$2:$G$73&lt;'All Matches'!$F$2:$F$73))))</f>
        <v>2</v>
      </c>
      <c r="G4" s="2" t="n">
        <f aca="false">SUMIFS('All Matches'!$F$2:$F$73,'All Matches'!$C$2:$C$73,$A4,'All Matches'!$E$2:$E$73,$B4)+SUMIFS('All Matches'!$G$2:$G$73,'All Matches'!$C$2:$C$73,$A4,'All Matches'!$H$2:$H$73,$B4)</f>
        <v>2</v>
      </c>
      <c r="H4" s="2" t="n">
        <f aca="false">SUMIFS('All Matches'!$G$2:$G$73,'All Matches'!$C$2:$C$73,$A4,'All Matches'!$E$2:$E$73,$B4)+SUMIFS('All Matches'!$F$2:$F$73,'All Matches'!$C$2:$C$73,$A4,'All Matches'!$H$2:$H$73,$B4)</f>
        <v>3</v>
      </c>
      <c r="I4" s="2" t="n">
        <f aca="false">G4-H4</f>
        <v>-1</v>
      </c>
      <c r="J4" s="2" t="n">
        <f aca="false">3*D4+E4</f>
        <v>3</v>
      </c>
    </row>
    <row r="5" customFormat="false" ht="15" hidden="false" customHeight="false" outlineLevel="0" collapsed="false">
      <c r="A5" s="2" t="s">
        <v>10</v>
      </c>
      <c r="B5" s="6" t="s">
        <v>16</v>
      </c>
      <c r="C5" s="2" t="n">
        <f aca="false">SUMPRODUCT(('All Matches'!$C$2:$C$73=$A5)*((('All Matches'!$E$2:$E$73=$B5)+('All Matches'!$H$2:$H$73=$B5))&gt;0))</f>
        <v>3</v>
      </c>
      <c r="D5" s="2" t="n">
        <f aca="false">SUMPRODUCT(('All Matches'!$C$2:$C$73=$A5)*((('All Matches'!$E$2:$E$73=$B5)*('All Matches'!$F$2:$F$73&gt;'All Matches'!$G$2:$G$73))+(('All Matches'!$H$2:$H$73=$B5)*('All Matches'!$G$2:$G$73&gt;'All Matches'!$F$2:$F$73))))</f>
        <v>0</v>
      </c>
      <c r="E5" s="2" t="n">
        <f aca="false">SUMPRODUCT(('All Matches'!$C$2:$C$73=$A5)*((('All Matches'!$E$2:$E$73=$B5)+('All Matches'!$H$2:$H$73=$B5))&gt;0)*('All Matches'!$F$2:$F$73='All Matches'!$G$2:$G$73))</f>
        <v>1</v>
      </c>
      <c r="F5" s="2" t="n">
        <f aca="false">SUMPRODUCT(('All Matches'!$C$2:$C$73=$A5)*((('All Matches'!$E$2:$E$73=$B5)*('All Matches'!$F$2:$F$73&lt;'All Matches'!$G$2:$G$73))+(('All Matches'!$H$2:$H$73=$B5)*('All Matches'!$G$2:$G$73&lt;'All Matches'!$F$2:$F$73))))</f>
        <v>2</v>
      </c>
      <c r="G5" s="2" t="n">
        <f aca="false">SUMIFS('All Matches'!$F$2:$F$73,'All Matches'!$C$2:$C$73,$A5,'All Matches'!$E$2:$E$73,$B5)+SUMIFS('All Matches'!$G$2:$G$73,'All Matches'!$C$2:$C$73,$A5,'All Matches'!$H$2:$H$73,$B5)</f>
        <v>2</v>
      </c>
      <c r="H5" s="2" t="n">
        <f aca="false">SUMIFS('All Matches'!$G$2:$G$73,'All Matches'!$C$2:$C$73,$A5,'All Matches'!$E$2:$E$73,$B5)+SUMIFS('All Matches'!$F$2:$F$73,'All Matches'!$C$2:$C$73,$A5,'All Matches'!$H$2:$H$73,$B5)</f>
        <v>6</v>
      </c>
      <c r="I5" s="2" t="n">
        <f aca="false">G5-H5</f>
        <v>-4</v>
      </c>
      <c r="J5" s="2" t="n">
        <f aca="false">3*D5+E5</f>
        <v>1</v>
      </c>
    </row>
    <row r="7" customFormat="false" ht="15" hidden="false" customHeight="false" outlineLevel="0" collapsed="false">
      <c r="A7" s="2" t="s">
        <v>19</v>
      </c>
      <c r="B7" s="6" t="s">
        <v>20</v>
      </c>
      <c r="C7" s="2" t="n">
        <f aca="false">SUMPRODUCT(('All Matches'!$C$2:$C$73=$A7)*((('All Matches'!$E$2:$E$73=$B7)+('All Matches'!$H$2:$H$73=$B7))&gt;0))</f>
        <v>3</v>
      </c>
      <c r="D7" s="2" t="n">
        <f aca="false">SUMPRODUCT(('All Matches'!$C$2:$C$73=$A7)*((('All Matches'!$E$2:$E$73=$B7)*('All Matches'!$F$2:$F$73&gt;'All Matches'!$G$2:$G$73))+(('All Matches'!$H$2:$H$73=$B7)*('All Matches'!$G$2:$G$73&gt;'All Matches'!$F$2:$F$73))))</f>
        <v>1</v>
      </c>
      <c r="E7" s="2" t="n">
        <f aca="false">SUMPRODUCT(('All Matches'!$C$2:$C$73=$A7)*((('All Matches'!$E$2:$E$73=$B7)+('All Matches'!$H$2:$H$73=$B7))&gt;0)*('All Matches'!$F$2:$F$73='All Matches'!$G$2:$G$73))</f>
        <v>1</v>
      </c>
      <c r="F7" s="2" t="n">
        <f aca="false">SUMPRODUCT(('All Matches'!$C$2:$C$73=$A7)*((('All Matches'!$E$2:$E$73=$B7)*('All Matches'!$F$2:$F$73&lt;'All Matches'!$G$2:$G$73))+(('All Matches'!$H$2:$H$73=$B7)*('All Matches'!$G$2:$G$73&lt;'All Matches'!$F$2:$F$73))))</f>
        <v>1</v>
      </c>
      <c r="G7" s="2" t="n">
        <f aca="false">SUMIFS('All Matches'!$F$2:$F$73,'All Matches'!$C$2:$C$73,$A7,'All Matches'!$E$2:$E$73,$B7)+SUMIFS('All Matches'!$G$2:$G$73,'All Matches'!$C$2:$C$73,$A7,'All Matches'!$H$2:$H$73,$B7)</f>
        <v>8</v>
      </c>
      <c r="H7" s="2" t="n">
        <f aca="false">SUMIFS('All Matches'!$G$2:$G$73,'All Matches'!$C$2:$C$73,$A7,'All Matches'!$E$2:$E$73,$B7)+SUMIFS('All Matches'!$F$2:$F$73,'All Matches'!$C$2:$C$73,$A7,'All Matches'!$H$2:$H$73,$B7)</f>
        <v>3</v>
      </c>
      <c r="I7" s="2" t="n">
        <f aca="false">G7-H7</f>
        <v>5</v>
      </c>
      <c r="J7" s="2" t="n">
        <f aca="false">3*D7+E7</f>
        <v>4</v>
      </c>
    </row>
    <row r="8" customFormat="false" ht="15" hidden="false" customHeight="false" outlineLevel="0" collapsed="false">
      <c r="A8" s="2" t="s">
        <v>19</v>
      </c>
      <c r="B8" s="6" t="s">
        <v>21</v>
      </c>
      <c r="C8" s="2" t="n">
        <f aca="false">SUMPRODUCT(('All Matches'!$C$2:$C$73=$A8)*((('All Matches'!$E$2:$E$73=$B8)+('All Matches'!$H$2:$H$73=$B8))&gt;0))</f>
        <v>3</v>
      </c>
      <c r="D8" s="2" t="n">
        <f aca="false">SUMPRODUCT(('All Matches'!$C$2:$C$73=$A8)*((('All Matches'!$E$2:$E$73=$B8)*('All Matches'!$F$2:$F$73&gt;'All Matches'!$G$2:$G$73))+(('All Matches'!$H$2:$H$73=$B8)*('All Matches'!$G$2:$G$73&gt;'All Matches'!$F$2:$F$73))))</f>
        <v>1</v>
      </c>
      <c r="E8" s="2" t="n">
        <f aca="false">SUMPRODUCT(('All Matches'!$C$2:$C$73=$A8)*((('All Matches'!$E$2:$E$73=$B8)+('All Matches'!$H$2:$H$73=$B8))&gt;0)*('All Matches'!$F$2:$F$73='All Matches'!$G$2:$G$73))</f>
        <v>1</v>
      </c>
      <c r="F8" s="2" t="n">
        <f aca="false">SUMPRODUCT(('All Matches'!$C$2:$C$73=$A8)*((('All Matches'!$E$2:$E$73=$B8)*('All Matches'!$F$2:$F$73&lt;'All Matches'!$G$2:$G$73))+(('All Matches'!$H$2:$H$73=$B8)*('All Matches'!$G$2:$G$73&lt;'All Matches'!$F$2:$F$73))))</f>
        <v>1</v>
      </c>
      <c r="G8" s="2" t="n">
        <f aca="false">SUMIFS('All Matches'!$F$2:$F$73,'All Matches'!$C$2:$C$73,$A8,'All Matches'!$E$2:$E$73,$B8)+SUMIFS('All Matches'!$G$2:$G$73,'All Matches'!$C$2:$C$73,$A8,'All Matches'!$H$2:$H$73,$B8)</f>
        <v>5</v>
      </c>
      <c r="H8" s="2" t="n">
        <f aca="false">SUMIFS('All Matches'!$G$2:$G$73,'All Matches'!$C$2:$C$73,$A8,'All Matches'!$E$2:$E$73,$B8)+SUMIFS('All Matches'!$F$2:$F$73,'All Matches'!$C$2:$C$73,$A8,'All Matches'!$H$2:$H$73,$B8)</f>
        <v>6</v>
      </c>
      <c r="I8" s="2" t="n">
        <f aca="false">G8-H8</f>
        <v>-1</v>
      </c>
      <c r="J8" s="2" t="n">
        <f aca="false">3*D8+E8</f>
        <v>4</v>
      </c>
    </row>
    <row r="9" customFormat="false" ht="15" hidden="false" customHeight="false" outlineLevel="0" collapsed="false">
      <c r="A9" s="2" t="s">
        <v>19</v>
      </c>
      <c r="B9" s="6" t="s">
        <v>23</v>
      </c>
      <c r="C9" s="2" t="n">
        <f aca="false">SUMPRODUCT(('All Matches'!$C$2:$C$73=$A9)*((('All Matches'!$E$2:$E$73=$B9)+('All Matches'!$H$2:$H$73=$B9))&gt;0))</f>
        <v>3</v>
      </c>
      <c r="D9" s="2" t="n">
        <f aca="false">SUMPRODUCT(('All Matches'!$C$2:$C$73=$A9)*((('All Matches'!$E$2:$E$73=$B9)*('All Matches'!$F$2:$F$73&gt;'All Matches'!$G$2:$G$73))+(('All Matches'!$H$2:$H$73=$B9)*('All Matches'!$G$2:$G$73&gt;'All Matches'!$F$2:$F$73))))</f>
        <v>0</v>
      </c>
      <c r="E9" s="2" t="n">
        <f aca="false">SUMPRODUCT(('All Matches'!$C$2:$C$73=$A9)*((('All Matches'!$E$2:$E$73=$B9)+('All Matches'!$H$2:$H$73=$B9))&gt;0)*('All Matches'!$F$2:$F$73='All Matches'!$G$2:$G$73))</f>
        <v>1</v>
      </c>
      <c r="F9" s="2" t="n">
        <f aca="false">SUMPRODUCT(('All Matches'!$C$2:$C$73=$A9)*((('All Matches'!$E$2:$E$73=$B9)*('All Matches'!$F$2:$F$73&lt;'All Matches'!$G$2:$G$73))+(('All Matches'!$H$2:$H$73=$B9)*('All Matches'!$G$2:$G$73&lt;'All Matches'!$F$2:$F$73))))</f>
        <v>2</v>
      </c>
      <c r="G9" s="2" t="n">
        <f aca="false">SUMIFS('All Matches'!$F$2:$F$73,'All Matches'!$C$2:$C$73,$A9,'All Matches'!$E$2:$E$73,$B9)+SUMIFS('All Matches'!$G$2:$G$73,'All Matches'!$C$2:$C$73,$A9,'All Matches'!$H$2:$H$73,$B9)</f>
        <v>2</v>
      </c>
      <c r="H9" s="2" t="n">
        <f aca="false">SUMIFS('All Matches'!$G$2:$G$73,'All Matches'!$C$2:$C$73,$A9,'All Matches'!$E$2:$E$73,$B9)+SUMIFS('All Matches'!$F$2:$F$73,'All Matches'!$C$2:$C$73,$A9,'All Matches'!$H$2:$H$73,$B9)</f>
        <v>10</v>
      </c>
      <c r="I9" s="2" t="n">
        <f aca="false">G9-H9</f>
        <v>-8</v>
      </c>
      <c r="J9" s="2" t="n">
        <f aca="false">3*D9+E9</f>
        <v>1</v>
      </c>
    </row>
    <row r="10" customFormat="false" ht="15" hidden="false" customHeight="false" outlineLevel="0" collapsed="false">
      <c r="A10" s="2" t="s">
        <v>19</v>
      </c>
      <c r="B10" s="6" t="s">
        <v>24</v>
      </c>
      <c r="C10" s="2" t="n">
        <f aca="false">SUMPRODUCT(('All Matches'!$C$2:$C$73=$A10)*((('All Matches'!$E$2:$E$73=$B10)+('All Matches'!$H$2:$H$73=$B10))&gt;0))</f>
        <v>3</v>
      </c>
      <c r="D10" s="2" t="n">
        <f aca="false">SUMPRODUCT(('All Matches'!$C$2:$C$73=$A10)*((('All Matches'!$E$2:$E$73=$B10)*('All Matches'!$F$2:$F$73&gt;'All Matches'!$G$2:$G$73))+(('All Matches'!$H$2:$H$73=$B10)*('All Matches'!$G$2:$G$73&gt;'All Matches'!$F$2:$F$73))))</f>
        <v>2</v>
      </c>
      <c r="E10" s="2" t="n">
        <f aca="false">SUMPRODUCT(('All Matches'!$C$2:$C$73=$A10)*((('All Matches'!$E$2:$E$73=$B10)+('All Matches'!$H$2:$H$73=$B10))&gt;0)*('All Matches'!$F$2:$F$73='All Matches'!$G$2:$G$73))</f>
        <v>1</v>
      </c>
      <c r="F10" s="2" t="n">
        <f aca="false">SUMPRODUCT(('All Matches'!$C$2:$C$73=$A10)*((('All Matches'!$E$2:$E$73=$B10)*('All Matches'!$F$2:$F$73&lt;'All Matches'!$G$2:$G$73))+(('All Matches'!$H$2:$H$73=$B10)*('All Matches'!$G$2:$G$73&lt;'All Matches'!$F$2:$F$73))))</f>
        <v>0</v>
      </c>
      <c r="G10" s="2" t="n">
        <f aca="false">SUMIFS('All Matches'!$F$2:$F$73,'All Matches'!$C$2:$C$73,$A10,'All Matches'!$E$2:$E$73,$B10)+SUMIFS('All Matches'!$G$2:$G$73,'All Matches'!$C$2:$C$73,$A10,'All Matches'!$H$2:$H$73,$B10)</f>
        <v>7</v>
      </c>
      <c r="H10" s="2" t="n">
        <f aca="false">SUMIFS('All Matches'!$G$2:$G$73,'All Matches'!$C$2:$C$73,$A10,'All Matches'!$E$2:$E$73,$B10)+SUMIFS('All Matches'!$F$2:$F$73,'All Matches'!$C$2:$C$73,$A10,'All Matches'!$H$2:$H$73,$B10)</f>
        <v>3</v>
      </c>
      <c r="I10" s="2" t="n">
        <f aca="false">G10-H10</f>
        <v>4</v>
      </c>
      <c r="J10" s="2" t="n">
        <f aca="false">3*D10+E10</f>
        <v>7</v>
      </c>
    </row>
    <row r="12" customFormat="false" ht="15" hidden="false" customHeight="false" outlineLevel="0" collapsed="false">
      <c r="A12" s="2" t="s">
        <v>26</v>
      </c>
      <c r="B12" s="6" t="s">
        <v>27</v>
      </c>
      <c r="C12" s="2" t="n">
        <f aca="false">SUMPRODUCT(('All Matches'!$C$2:$C$73=$A12)*((('All Matches'!$E$2:$E$73=$B12)+('All Matches'!$H$2:$H$73=$B12))&gt;0))</f>
        <v>3</v>
      </c>
      <c r="D12" s="2" t="n">
        <f aca="false">SUMPRODUCT(('All Matches'!$C$2:$C$73=$A12)*((('All Matches'!$E$2:$E$73=$B12)*('All Matches'!$F$2:$F$73&gt;'All Matches'!$G$2:$G$73))+(('All Matches'!$H$2:$H$73=$B12)*('All Matches'!$G$2:$G$73&gt;'All Matches'!$F$2:$F$73))))</f>
        <v>2</v>
      </c>
      <c r="E12" s="2" t="n">
        <f aca="false">SUMPRODUCT(('All Matches'!$C$2:$C$73=$A12)*((('All Matches'!$E$2:$E$73=$B12)+('All Matches'!$H$2:$H$73=$B12))&gt;0)*('All Matches'!$F$2:$F$73='All Matches'!$G$2:$G$73))</f>
        <v>1</v>
      </c>
      <c r="F12" s="2" t="n">
        <f aca="false">SUMPRODUCT(('All Matches'!$C$2:$C$73=$A12)*((('All Matches'!$E$2:$E$73=$B12)*('All Matches'!$F$2:$F$73&lt;'All Matches'!$G$2:$G$73))+(('All Matches'!$H$2:$H$73=$B12)*('All Matches'!$G$2:$G$73&lt;'All Matches'!$F$2:$F$73))))</f>
        <v>0</v>
      </c>
      <c r="G12" s="2" t="n">
        <f aca="false">SUMIFS('All Matches'!$F$2:$F$73,'All Matches'!$C$2:$C$73,$A12,'All Matches'!$E$2:$E$73,$B12)+SUMIFS('All Matches'!$G$2:$G$73,'All Matches'!$C$2:$C$73,$A12,'All Matches'!$H$2:$H$73,$B12)</f>
        <v>7</v>
      </c>
      <c r="H12" s="2" t="n">
        <f aca="false">SUMIFS('All Matches'!$G$2:$G$73,'All Matches'!$C$2:$C$73,$A12,'All Matches'!$E$2:$E$73,$B12)+SUMIFS('All Matches'!$F$2:$F$73,'All Matches'!$C$2:$C$73,$A12,'All Matches'!$H$2:$H$73,$B12)</f>
        <v>1</v>
      </c>
      <c r="I12" s="2" t="n">
        <f aca="false">G12-H12</f>
        <v>6</v>
      </c>
      <c r="J12" s="2" t="n">
        <f aca="false">3*D12+E12</f>
        <v>7</v>
      </c>
    </row>
    <row r="13" customFormat="false" ht="15" hidden="false" customHeight="false" outlineLevel="0" collapsed="false">
      <c r="A13" s="2" t="s">
        <v>26</v>
      </c>
      <c r="B13" s="6" t="s">
        <v>28</v>
      </c>
      <c r="C13" s="2" t="n">
        <f aca="false">SUMPRODUCT(('All Matches'!$C$2:$C$73=$A13)*((('All Matches'!$E$2:$E$73=$B13)+('All Matches'!$H$2:$H$73=$B13))&gt;0))</f>
        <v>3</v>
      </c>
      <c r="D13" s="2" t="n">
        <f aca="false">SUMPRODUCT(('All Matches'!$C$2:$C$73=$A13)*((('All Matches'!$E$2:$E$73=$B13)*('All Matches'!$F$2:$F$73&gt;'All Matches'!$G$2:$G$73))+(('All Matches'!$H$2:$H$73=$B13)*('All Matches'!$G$2:$G$73&gt;'All Matches'!$F$2:$F$73))))</f>
        <v>2</v>
      </c>
      <c r="E13" s="2" t="n">
        <f aca="false">SUMPRODUCT(('All Matches'!$C$2:$C$73=$A13)*((('All Matches'!$E$2:$E$73=$B13)+('All Matches'!$H$2:$H$73=$B13))&gt;0)*('All Matches'!$F$2:$F$73='All Matches'!$G$2:$G$73))</f>
        <v>1</v>
      </c>
      <c r="F13" s="2" t="n">
        <f aca="false">SUMPRODUCT(('All Matches'!$C$2:$C$73=$A13)*((('All Matches'!$E$2:$E$73=$B13)*('All Matches'!$F$2:$F$73&lt;'All Matches'!$G$2:$G$73))+(('All Matches'!$H$2:$H$73=$B13)*('All Matches'!$G$2:$G$73&lt;'All Matches'!$F$2:$F$73))))</f>
        <v>0</v>
      </c>
      <c r="G13" s="2" t="n">
        <f aca="false">SUMIFS('All Matches'!$F$2:$F$73,'All Matches'!$C$2:$C$73,$A13,'All Matches'!$E$2:$E$73,$B13)+SUMIFS('All Matches'!$G$2:$G$73,'All Matches'!$C$2:$C$73,$A13,'All Matches'!$H$2:$H$73,$B13)</f>
        <v>6</v>
      </c>
      <c r="H13" s="2" t="n">
        <f aca="false">SUMIFS('All Matches'!$G$2:$G$73,'All Matches'!$C$2:$C$73,$A13,'All Matches'!$E$2:$E$73,$B13)+SUMIFS('All Matches'!$F$2:$F$73,'All Matches'!$C$2:$C$73,$A13,'All Matches'!$H$2:$H$73,$B13)</f>
        <v>3</v>
      </c>
      <c r="I13" s="2" t="n">
        <f aca="false">G13-H13</f>
        <v>3</v>
      </c>
      <c r="J13" s="2" t="n">
        <f aca="false">3*D13+E13</f>
        <v>7</v>
      </c>
    </row>
    <row r="14" customFormat="false" ht="15" hidden="false" customHeight="false" outlineLevel="0" collapsed="false">
      <c r="A14" s="2" t="s">
        <v>26</v>
      </c>
      <c r="B14" s="6" t="s">
        <v>30</v>
      </c>
      <c r="C14" s="2" t="n">
        <f aca="false">SUMPRODUCT(('All Matches'!$C$2:$C$73=$A14)*((('All Matches'!$E$2:$E$73=$B14)+('All Matches'!$H$2:$H$73=$B14))&gt;0))</f>
        <v>3</v>
      </c>
      <c r="D14" s="2" t="n">
        <f aca="false">SUMPRODUCT(('All Matches'!$C$2:$C$73=$A14)*((('All Matches'!$E$2:$E$73=$B14)*('All Matches'!$F$2:$F$73&gt;'All Matches'!$G$2:$G$73))+(('All Matches'!$H$2:$H$73=$B14)*('All Matches'!$G$2:$G$73&gt;'All Matches'!$F$2:$F$73))))</f>
        <v>0</v>
      </c>
      <c r="E14" s="2" t="n">
        <f aca="false">SUMPRODUCT(('All Matches'!$C$2:$C$73=$A14)*((('All Matches'!$E$2:$E$73=$B14)+('All Matches'!$H$2:$H$73=$B14))&gt;0)*('All Matches'!$F$2:$F$73='All Matches'!$G$2:$G$73))</f>
        <v>0</v>
      </c>
      <c r="F14" s="2" t="n">
        <f aca="false">SUMPRODUCT(('All Matches'!$C$2:$C$73=$A14)*((('All Matches'!$E$2:$E$73=$B14)*('All Matches'!$F$2:$F$73&lt;'All Matches'!$G$2:$G$73))+(('All Matches'!$H$2:$H$73=$B14)*('All Matches'!$G$2:$G$73&lt;'All Matches'!$F$2:$F$73))))</f>
        <v>3</v>
      </c>
      <c r="G14" s="2" t="n">
        <f aca="false">SUMIFS('All Matches'!$F$2:$F$73,'All Matches'!$C$2:$C$73,$A14,'All Matches'!$E$2:$E$73,$B14)+SUMIFS('All Matches'!$G$2:$G$73,'All Matches'!$C$2:$C$73,$A14,'All Matches'!$H$2:$H$73,$B14)</f>
        <v>2</v>
      </c>
      <c r="H14" s="2" t="n">
        <f aca="false">SUMIFS('All Matches'!$G$2:$G$73,'All Matches'!$C$2:$C$73,$A14,'All Matches'!$E$2:$E$73,$B14)+SUMIFS('All Matches'!$F$2:$F$73,'All Matches'!$C$2:$C$73,$A14,'All Matches'!$H$2:$H$73,$B14)</f>
        <v>8</v>
      </c>
      <c r="I14" s="2" t="n">
        <f aca="false">G14-H14</f>
        <v>-6</v>
      </c>
      <c r="J14" s="2" t="n">
        <f aca="false">3*D14+E14</f>
        <v>0</v>
      </c>
    </row>
    <row r="15" customFormat="false" ht="15" hidden="false" customHeight="false" outlineLevel="0" collapsed="false">
      <c r="A15" s="2" t="s">
        <v>26</v>
      </c>
      <c r="B15" s="6" t="s">
        <v>31</v>
      </c>
      <c r="C15" s="2" t="n">
        <f aca="false">SUMPRODUCT(('All Matches'!$C$2:$C$73=$A15)*((('All Matches'!$E$2:$E$73=$B15)+('All Matches'!$H$2:$H$73=$B15))&gt;0))</f>
        <v>3</v>
      </c>
      <c r="D15" s="2" t="n">
        <f aca="false">SUMPRODUCT(('All Matches'!$C$2:$C$73=$A15)*((('All Matches'!$E$2:$E$73=$B15)*('All Matches'!$F$2:$F$73&gt;'All Matches'!$G$2:$G$73))+(('All Matches'!$H$2:$H$73=$B15)*('All Matches'!$G$2:$G$73&gt;'All Matches'!$F$2:$F$73))))</f>
        <v>1</v>
      </c>
      <c r="E15" s="2" t="n">
        <f aca="false">SUMPRODUCT(('All Matches'!$C$2:$C$73=$A15)*((('All Matches'!$E$2:$E$73=$B15)+('All Matches'!$H$2:$H$73=$B15))&gt;0)*('All Matches'!$F$2:$F$73='All Matches'!$G$2:$G$73))</f>
        <v>0</v>
      </c>
      <c r="F15" s="2" t="n">
        <f aca="false">SUMPRODUCT(('All Matches'!$C$2:$C$73=$A15)*((('All Matches'!$E$2:$E$73=$B15)*('All Matches'!$F$2:$F$73&lt;'All Matches'!$G$2:$G$73))+(('All Matches'!$H$2:$H$73=$B15)*('All Matches'!$G$2:$G$73&lt;'All Matches'!$F$2:$F$73))))</f>
        <v>2</v>
      </c>
      <c r="G15" s="2" t="n">
        <f aca="false">SUMIFS('All Matches'!$F$2:$F$73,'All Matches'!$C$2:$C$73,$A15,'All Matches'!$E$2:$E$73,$B15)+SUMIFS('All Matches'!$G$2:$G$73,'All Matches'!$C$2:$C$73,$A15,'All Matches'!$H$2:$H$73,$B15)</f>
        <v>1</v>
      </c>
      <c r="H15" s="2" t="n">
        <f aca="false">SUMIFS('All Matches'!$G$2:$G$73,'All Matches'!$C$2:$C$73,$A15,'All Matches'!$E$2:$E$73,$B15)+SUMIFS('All Matches'!$F$2:$F$73,'All Matches'!$C$2:$C$73,$A15,'All Matches'!$H$2:$H$73,$B15)</f>
        <v>4</v>
      </c>
      <c r="I15" s="2" t="n">
        <f aca="false">G15-H15</f>
        <v>-3</v>
      </c>
      <c r="J15" s="2" t="n">
        <f aca="false">3*D15+E15</f>
        <v>3</v>
      </c>
    </row>
    <row r="17" customFormat="false" ht="15" hidden="false" customHeight="false" outlineLevel="0" collapsed="false">
      <c r="A17" s="2" t="s">
        <v>33</v>
      </c>
      <c r="B17" s="6" t="s">
        <v>34</v>
      </c>
      <c r="C17" s="2" t="n">
        <f aca="false">SUMPRODUCT(('All Matches'!$C$2:$C$73=$A17)*((('All Matches'!$E$2:$E$73=$B17)+('All Matches'!$H$2:$H$73=$B17))&gt;0))</f>
        <v>3</v>
      </c>
      <c r="D17" s="2" t="n">
        <f aca="false">SUMPRODUCT(('All Matches'!$C$2:$C$73=$A17)*((('All Matches'!$E$2:$E$73=$B17)*('All Matches'!$F$2:$F$73&gt;'All Matches'!$G$2:$G$73))+(('All Matches'!$H$2:$H$73=$B17)*('All Matches'!$G$2:$G$73&gt;'All Matches'!$F$2:$F$73))))</f>
        <v>2</v>
      </c>
      <c r="E17" s="2" t="n">
        <f aca="false">SUMPRODUCT(('All Matches'!$C$2:$C$73=$A17)*((('All Matches'!$E$2:$E$73=$B17)+('All Matches'!$H$2:$H$73=$B17))&gt;0)*('All Matches'!$F$2:$F$73='All Matches'!$G$2:$G$73))</f>
        <v>0</v>
      </c>
      <c r="F17" s="2" t="n">
        <f aca="false">SUMPRODUCT(('All Matches'!$C$2:$C$73=$A17)*((('All Matches'!$E$2:$E$73=$B17)*('All Matches'!$F$2:$F$73&lt;'All Matches'!$G$2:$G$73))+(('All Matches'!$H$2:$H$73=$B17)*('All Matches'!$G$2:$G$73&lt;'All Matches'!$F$2:$F$73))))</f>
        <v>1</v>
      </c>
      <c r="G17" s="2" t="n">
        <f aca="false">SUMIFS('All Matches'!$F$2:$F$73,'All Matches'!$C$2:$C$73,$A17,'All Matches'!$E$2:$E$73,$B17)+SUMIFS('All Matches'!$G$2:$G$73,'All Matches'!$C$2:$C$73,$A17,'All Matches'!$H$2:$H$73,$B17)</f>
        <v>8</v>
      </c>
      <c r="H17" s="2" t="n">
        <f aca="false">SUMIFS('All Matches'!$G$2:$G$73,'All Matches'!$C$2:$C$73,$A17,'All Matches'!$E$2:$E$73,$B17)+SUMIFS('All Matches'!$F$2:$F$73,'All Matches'!$C$2:$C$73,$A17,'All Matches'!$H$2:$H$73,$B17)</f>
        <v>4</v>
      </c>
      <c r="I17" s="2" t="n">
        <f aca="false">G17-H17</f>
        <v>4</v>
      </c>
      <c r="J17" s="2" t="n">
        <f aca="false">3*D17+E17</f>
        <v>6</v>
      </c>
    </row>
    <row r="18" customFormat="false" ht="15" hidden="false" customHeight="false" outlineLevel="0" collapsed="false">
      <c r="A18" s="2" t="s">
        <v>33</v>
      </c>
      <c r="B18" s="6" t="s">
        <v>35</v>
      </c>
      <c r="C18" s="2" t="n">
        <f aca="false">SUMPRODUCT(('All Matches'!$C$2:$C$73=$A18)*((('All Matches'!$E$2:$E$73=$B18)+('All Matches'!$H$2:$H$73=$B18))&gt;0))</f>
        <v>3</v>
      </c>
      <c r="D18" s="2" t="n">
        <f aca="false">SUMPRODUCT(('All Matches'!$C$2:$C$73=$A18)*((('All Matches'!$E$2:$E$73=$B18)*('All Matches'!$F$2:$F$73&gt;'All Matches'!$G$2:$G$73))+(('All Matches'!$H$2:$H$73=$B18)*('All Matches'!$G$2:$G$73&gt;'All Matches'!$F$2:$F$73))))</f>
        <v>1</v>
      </c>
      <c r="E18" s="2" t="n">
        <f aca="false">SUMPRODUCT(('All Matches'!$C$2:$C$73=$A18)*((('All Matches'!$E$2:$E$73=$B18)+('All Matches'!$H$2:$H$73=$B18))&gt;0)*('All Matches'!$F$2:$F$73='All Matches'!$G$2:$G$73))</f>
        <v>1</v>
      </c>
      <c r="F18" s="2" t="n">
        <f aca="false">SUMPRODUCT(('All Matches'!$C$2:$C$73=$A18)*((('All Matches'!$E$2:$E$73=$B18)*('All Matches'!$F$2:$F$73&lt;'All Matches'!$G$2:$G$73))+(('All Matches'!$H$2:$H$73=$B18)*('All Matches'!$G$2:$G$73&lt;'All Matches'!$F$2:$F$73))))</f>
        <v>1</v>
      </c>
      <c r="G18" s="2" t="n">
        <f aca="false">SUMIFS('All Matches'!$F$2:$F$73,'All Matches'!$C$2:$C$73,$A18,'All Matches'!$E$2:$E$73,$B18)+SUMIFS('All Matches'!$G$2:$G$73,'All Matches'!$C$2:$C$73,$A18,'All Matches'!$H$2:$H$73,$B18)</f>
        <v>2</v>
      </c>
      <c r="H18" s="2" t="n">
        <f aca="false">SUMIFS('All Matches'!$G$2:$G$73,'All Matches'!$C$2:$C$73,$A18,'All Matches'!$E$2:$E$73,$B18)+SUMIFS('All Matches'!$F$2:$F$73,'All Matches'!$C$2:$C$73,$A18,'All Matches'!$H$2:$H$73,$B18)</f>
        <v>4</v>
      </c>
      <c r="I18" s="2" t="n">
        <f aca="false">G18-H18</f>
        <v>-2</v>
      </c>
      <c r="J18" s="2" t="n">
        <f aca="false">3*D18+E18</f>
        <v>4</v>
      </c>
    </row>
    <row r="19" customFormat="false" ht="15" hidden="false" customHeight="false" outlineLevel="0" collapsed="false">
      <c r="A19" s="2" t="s">
        <v>33</v>
      </c>
      <c r="B19" s="6" t="s">
        <v>36</v>
      </c>
      <c r="C19" s="2" t="n">
        <f aca="false">SUMPRODUCT(('All Matches'!$C$2:$C$73=$A19)*((('All Matches'!$E$2:$E$73=$B19)+('All Matches'!$H$2:$H$73=$B19))&gt;0))</f>
        <v>3</v>
      </c>
      <c r="D19" s="2" t="n">
        <f aca="false">SUMPRODUCT(('All Matches'!$C$2:$C$73=$A19)*((('All Matches'!$E$2:$E$73=$B19)*('All Matches'!$F$2:$F$73&gt;'All Matches'!$G$2:$G$73))+(('All Matches'!$H$2:$H$73=$B19)*('All Matches'!$G$2:$G$73&gt;'All Matches'!$F$2:$F$73))))</f>
        <v>1</v>
      </c>
      <c r="E19" s="2" t="n">
        <f aca="false">SUMPRODUCT(('All Matches'!$C$2:$C$73=$A19)*((('All Matches'!$E$2:$E$73=$B19)+('All Matches'!$H$2:$H$73=$B19))&gt;0)*('All Matches'!$F$2:$F$73='All Matches'!$G$2:$G$73))</f>
        <v>1</v>
      </c>
      <c r="F19" s="2" t="n">
        <f aca="false">SUMPRODUCT(('All Matches'!$C$2:$C$73=$A19)*((('All Matches'!$E$2:$E$73=$B19)*('All Matches'!$F$2:$F$73&lt;'All Matches'!$G$2:$G$73))+(('All Matches'!$H$2:$H$73=$B19)*('All Matches'!$G$2:$G$73&lt;'All Matches'!$F$2:$F$73))))</f>
        <v>1</v>
      </c>
      <c r="G19" s="2" t="n">
        <f aca="false">SUMIFS('All Matches'!$F$2:$F$73,'All Matches'!$C$2:$C$73,$A19,'All Matches'!$E$2:$E$73,$B19)+SUMIFS('All Matches'!$G$2:$G$73,'All Matches'!$C$2:$C$73,$A19,'All Matches'!$H$2:$H$73,$B19)</f>
        <v>2</v>
      </c>
      <c r="H19" s="2" t="n">
        <f aca="false">SUMIFS('All Matches'!$G$2:$G$73,'All Matches'!$C$2:$C$73,$A19,'All Matches'!$E$2:$E$73,$B19)+SUMIFS('All Matches'!$F$2:$F$73,'All Matches'!$C$2:$C$73,$A19,'All Matches'!$H$2:$H$73,$B19)</f>
        <v>2</v>
      </c>
      <c r="I19" s="2" t="n">
        <f aca="false">G19-H19</f>
        <v>0</v>
      </c>
      <c r="J19" s="2" t="n">
        <f aca="false">3*D19+E19</f>
        <v>4</v>
      </c>
    </row>
    <row r="20" customFormat="false" ht="15" hidden="false" customHeight="false" outlineLevel="0" collapsed="false">
      <c r="A20" s="2" t="s">
        <v>33</v>
      </c>
      <c r="B20" s="6" t="s">
        <v>37</v>
      </c>
      <c r="C20" s="2" t="n">
        <f aca="false">SUMPRODUCT(('All Matches'!$C$2:$C$73=$A20)*((('All Matches'!$E$2:$E$73=$B20)+('All Matches'!$H$2:$H$73=$B20))&gt;0))</f>
        <v>3</v>
      </c>
      <c r="D20" s="2" t="n">
        <f aca="false">SUMPRODUCT(('All Matches'!$C$2:$C$73=$A20)*((('All Matches'!$E$2:$E$73=$B20)*('All Matches'!$F$2:$F$73&gt;'All Matches'!$G$2:$G$73))+(('All Matches'!$H$2:$H$73=$B20)*('All Matches'!$G$2:$G$73&gt;'All Matches'!$F$2:$F$73))))</f>
        <v>1</v>
      </c>
      <c r="E20" s="2" t="n">
        <f aca="false">SUMPRODUCT(('All Matches'!$C$2:$C$73=$A20)*((('All Matches'!$E$2:$E$73=$B20)+('All Matches'!$H$2:$H$73=$B20))&gt;0)*('All Matches'!$F$2:$F$73='All Matches'!$G$2:$G$73))</f>
        <v>0</v>
      </c>
      <c r="F20" s="2" t="n">
        <f aca="false">SUMPRODUCT(('All Matches'!$C$2:$C$73=$A20)*((('All Matches'!$E$2:$E$73=$B20)*('All Matches'!$F$2:$F$73&lt;'All Matches'!$G$2:$G$73))+(('All Matches'!$H$2:$H$73=$B20)*('All Matches'!$G$2:$G$73&lt;'All Matches'!$F$2:$F$73))))</f>
        <v>2</v>
      </c>
      <c r="G20" s="2" t="n">
        <f aca="false">SUMIFS('All Matches'!$F$2:$F$73,'All Matches'!$C$2:$C$73,$A20,'All Matches'!$E$2:$E$73,$B20)+SUMIFS('All Matches'!$G$2:$G$73,'All Matches'!$C$2:$C$73,$A20,'All Matches'!$H$2:$H$73,$B20)</f>
        <v>3</v>
      </c>
      <c r="H20" s="2" t="n">
        <f aca="false">SUMIFS('All Matches'!$G$2:$G$73,'All Matches'!$C$2:$C$73,$A20,'All Matches'!$E$2:$E$73,$B20)+SUMIFS('All Matches'!$F$2:$F$73,'All Matches'!$C$2:$C$73,$A20,'All Matches'!$H$2:$H$73,$B20)</f>
        <v>5</v>
      </c>
      <c r="I20" s="2" t="n">
        <f aca="false">G20-H20</f>
        <v>-2</v>
      </c>
      <c r="J20" s="2" t="n">
        <f aca="false">3*D20+E20</f>
        <v>3</v>
      </c>
    </row>
    <row r="22" customFormat="false" ht="15" hidden="false" customHeight="false" outlineLevel="0" collapsed="false">
      <c r="A22" s="2" t="s">
        <v>39</v>
      </c>
      <c r="B22" s="6" t="s">
        <v>40</v>
      </c>
      <c r="C22" s="2" t="n">
        <f aca="false">SUMPRODUCT(('All Matches'!$C$2:$C$73=$A22)*((('All Matches'!$E$2:$E$73=$B22)+('All Matches'!$H$2:$H$73=$B22))&gt;0))</f>
        <v>3</v>
      </c>
      <c r="D22" s="2" t="n">
        <f aca="false">SUMPRODUCT(('All Matches'!$C$2:$C$73=$A22)*((('All Matches'!$E$2:$E$73=$B22)*('All Matches'!$F$2:$F$73&gt;'All Matches'!$G$2:$G$73))+(('All Matches'!$H$2:$H$73=$B22)*('All Matches'!$G$2:$G$73&gt;'All Matches'!$F$2:$F$73))))</f>
        <v>2</v>
      </c>
      <c r="E22" s="2" t="n">
        <f aca="false">SUMPRODUCT(('All Matches'!$C$2:$C$73=$A22)*((('All Matches'!$E$2:$E$73=$B22)+('All Matches'!$H$2:$H$73=$B22))&gt;0)*('All Matches'!$F$2:$F$73='All Matches'!$G$2:$G$73))</f>
        <v>0</v>
      </c>
      <c r="F22" s="2" t="n">
        <f aca="false">SUMPRODUCT(('All Matches'!$C$2:$C$73=$A22)*((('All Matches'!$E$2:$E$73=$B22)*('All Matches'!$F$2:$F$73&lt;'All Matches'!$G$2:$G$73))+(('All Matches'!$H$2:$H$73=$B22)*('All Matches'!$G$2:$G$73&lt;'All Matches'!$F$2:$F$73))))</f>
        <v>1</v>
      </c>
      <c r="G22" s="2" t="n">
        <f aca="false">SUMIFS('All Matches'!$F$2:$F$73,'All Matches'!$C$2:$C$73,$A22,'All Matches'!$E$2:$E$73,$B22)+SUMIFS('All Matches'!$G$2:$G$73,'All Matches'!$C$2:$C$73,$A22,'All Matches'!$H$2:$H$73,$B22)</f>
        <v>10</v>
      </c>
      <c r="H22" s="2" t="n">
        <f aca="false">SUMIFS('All Matches'!$G$2:$G$73,'All Matches'!$C$2:$C$73,$A22,'All Matches'!$E$2:$E$73,$B22)+SUMIFS('All Matches'!$F$2:$F$73,'All Matches'!$C$2:$C$73,$A22,'All Matches'!$H$2:$H$73,$B22)</f>
        <v>4</v>
      </c>
      <c r="I22" s="2" t="n">
        <f aca="false">G22-H22</f>
        <v>6</v>
      </c>
      <c r="J22" s="2" t="n">
        <f aca="false">3*D22+E22</f>
        <v>6</v>
      </c>
    </row>
    <row r="23" customFormat="false" ht="15" hidden="false" customHeight="false" outlineLevel="0" collapsed="false">
      <c r="A23" s="2" t="s">
        <v>39</v>
      </c>
      <c r="B23" s="6" t="s">
        <v>41</v>
      </c>
      <c r="C23" s="2" t="n">
        <f aca="false">SUMPRODUCT(('All Matches'!$C$2:$C$73=$A23)*((('All Matches'!$E$2:$E$73=$B23)+('All Matches'!$H$2:$H$73=$B23))&gt;0))</f>
        <v>3</v>
      </c>
      <c r="D23" s="2" t="n">
        <f aca="false">SUMPRODUCT(('All Matches'!$C$2:$C$73=$A23)*((('All Matches'!$E$2:$E$73=$B23)*('All Matches'!$F$2:$F$73&gt;'All Matches'!$G$2:$G$73))+(('All Matches'!$H$2:$H$73=$B23)*('All Matches'!$G$2:$G$73&gt;'All Matches'!$F$2:$F$73))))</f>
        <v>0</v>
      </c>
      <c r="E23" s="2" t="n">
        <f aca="false">SUMPRODUCT(('All Matches'!$C$2:$C$73=$A23)*((('All Matches'!$E$2:$E$73=$B23)+('All Matches'!$H$2:$H$73=$B23))&gt;0)*('All Matches'!$F$2:$F$73='All Matches'!$G$2:$G$73))</f>
        <v>1</v>
      </c>
      <c r="F23" s="2" t="n">
        <f aca="false">SUMPRODUCT(('All Matches'!$C$2:$C$73=$A23)*((('All Matches'!$E$2:$E$73=$B23)*('All Matches'!$F$2:$F$73&lt;'All Matches'!$G$2:$G$73))+(('All Matches'!$H$2:$H$73=$B23)*('All Matches'!$G$2:$G$73&lt;'All Matches'!$F$2:$F$73))))</f>
        <v>2</v>
      </c>
      <c r="G23" s="2" t="n">
        <f aca="false">SUMIFS('All Matches'!$F$2:$F$73,'All Matches'!$C$2:$C$73,$A23,'All Matches'!$E$2:$E$73,$B23)+SUMIFS('All Matches'!$G$2:$G$73,'All Matches'!$C$2:$C$73,$A23,'All Matches'!$H$2:$H$73,$B23)</f>
        <v>1</v>
      </c>
      <c r="H23" s="2" t="n">
        <f aca="false">SUMIFS('All Matches'!$G$2:$G$73,'All Matches'!$C$2:$C$73,$A23,'All Matches'!$E$2:$E$73,$B23)+SUMIFS('All Matches'!$F$2:$F$73,'All Matches'!$C$2:$C$73,$A23,'All Matches'!$H$2:$H$73,$B23)</f>
        <v>9</v>
      </c>
      <c r="I23" s="2" t="n">
        <f aca="false">G23-H23</f>
        <v>-8</v>
      </c>
      <c r="J23" s="2" t="n">
        <f aca="false">3*D23+E23</f>
        <v>1</v>
      </c>
    </row>
    <row r="24" customFormat="false" ht="15" hidden="false" customHeight="false" outlineLevel="0" collapsed="false">
      <c r="A24" s="2" t="s">
        <v>39</v>
      </c>
      <c r="B24" s="6" t="s">
        <v>42</v>
      </c>
      <c r="C24" s="2" t="n">
        <f aca="false">SUMPRODUCT(('All Matches'!$C$2:$C$73=$A24)*((('All Matches'!$E$2:$E$73=$B24)+('All Matches'!$H$2:$H$73=$B24))&gt;0))</f>
        <v>3</v>
      </c>
      <c r="D24" s="2" t="n">
        <f aca="false">SUMPRODUCT(('All Matches'!$C$2:$C$73=$A24)*((('All Matches'!$E$2:$E$73=$B24)*('All Matches'!$F$2:$F$73&gt;'All Matches'!$G$2:$G$73))+(('All Matches'!$H$2:$H$73=$B24)*('All Matches'!$G$2:$G$73&gt;'All Matches'!$F$2:$F$73))))</f>
        <v>2</v>
      </c>
      <c r="E24" s="2" t="n">
        <f aca="false">SUMPRODUCT(('All Matches'!$C$2:$C$73=$A24)*((('All Matches'!$E$2:$E$73=$B24)+('All Matches'!$H$2:$H$73=$B24))&gt;0)*('All Matches'!$F$2:$F$73='All Matches'!$G$2:$G$73))</f>
        <v>0</v>
      </c>
      <c r="F24" s="2" t="n">
        <f aca="false">SUMPRODUCT(('All Matches'!$C$2:$C$73=$A24)*((('All Matches'!$E$2:$E$73=$B24)*('All Matches'!$F$2:$F$73&lt;'All Matches'!$G$2:$G$73))+(('All Matches'!$H$2:$H$73=$B24)*('All Matches'!$G$2:$G$73&lt;'All Matches'!$F$2:$F$73))))</f>
        <v>1</v>
      </c>
      <c r="G24" s="2" t="n">
        <f aca="false">SUMIFS('All Matches'!$F$2:$F$73,'All Matches'!$C$2:$C$73,$A24,'All Matches'!$E$2:$E$73,$B24)+SUMIFS('All Matches'!$G$2:$G$73,'All Matches'!$C$2:$C$73,$A24,'All Matches'!$H$2:$H$73,$B24)</f>
        <v>4</v>
      </c>
      <c r="H24" s="2" t="n">
        <f aca="false">SUMIFS('All Matches'!$G$2:$G$73,'All Matches'!$C$2:$C$73,$A24,'All Matches'!$E$2:$E$73,$B24)+SUMIFS('All Matches'!$F$2:$F$73,'All Matches'!$C$2:$C$73,$A24,'All Matches'!$H$2:$H$73,$B24)</f>
        <v>2</v>
      </c>
      <c r="I24" s="2" t="n">
        <f aca="false">G24-H24</f>
        <v>2</v>
      </c>
      <c r="J24" s="2" t="n">
        <f aca="false">3*D24+E24</f>
        <v>6</v>
      </c>
    </row>
    <row r="25" customFormat="false" ht="15" hidden="false" customHeight="false" outlineLevel="0" collapsed="false">
      <c r="A25" s="2" t="s">
        <v>39</v>
      </c>
      <c r="B25" s="6" t="s">
        <v>43</v>
      </c>
      <c r="C25" s="2" t="n">
        <f aca="false">SUMPRODUCT(('All Matches'!$C$2:$C$73=$A25)*((('All Matches'!$E$2:$E$73=$B25)+('All Matches'!$H$2:$H$73=$B25))&gt;0))</f>
        <v>3</v>
      </c>
      <c r="D25" s="2" t="n">
        <f aca="false">SUMPRODUCT(('All Matches'!$C$2:$C$73=$A25)*((('All Matches'!$E$2:$E$73=$B25)*('All Matches'!$F$2:$F$73&gt;'All Matches'!$G$2:$G$73))+(('All Matches'!$H$2:$H$73=$B25)*('All Matches'!$G$2:$G$73&gt;'All Matches'!$F$2:$F$73))))</f>
        <v>1</v>
      </c>
      <c r="E25" s="2" t="n">
        <f aca="false">SUMPRODUCT(('All Matches'!$C$2:$C$73=$A25)*((('All Matches'!$E$2:$E$73=$B25)+('All Matches'!$H$2:$H$73=$B25))&gt;0)*('All Matches'!$F$2:$F$73='All Matches'!$G$2:$G$73))</f>
        <v>1</v>
      </c>
      <c r="F25" s="2" t="n">
        <f aca="false">SUMPRODUCT(('All Matches'!$C$2:$C$73=$A25)*((('All Matches'!$E$2:$E$73=$B25)*('All Matches'!$F$2:$F$73&lt;'All Matches'!$G$2:$G$73))+(('All Matches'!$H$2:$H$73=$B25)*('All Matches'!$G$2:$G$73&lt;'All Matches'!$F$2:$F$73))))</f>
        <v>1</v>
      </c>
      <c r="G25" s="2" t="n">
        <f aca="false">SUMIFS('All Matches'!$F$2:$F$73,'All Matches'!$C$2:$C$73,$A25,'All Matches'!$E$2:$E$73,$B25)+SUMIFS('All Matches'!$G$2:$G$73,'All Matches'!$C$2:$C$73,$A25,'All Matches'!$H$2:$H$73,$B25)</f>
        <v>2</v>
      </c>
      <c r="H25" s="2" t="n">
        <f aca="false">SUMIFS('All Matches'!$G$2:$G$73,'All Matches'!$C$2:$C$73,$A25,'All Matches'!$E$2:$E$73,$B25)+SUMIFS('All Matches'!$F$2:$F$73,'All Matches'!$C$2:$C$73,$A25,'All Matches'!$H$2:$H$73,$B25)</f>
        <v>2</v>
      </c>
      <c r="I25" s="2" t="n">
        <f aca="false">G25-H25</f>
        <v>0</v>
      </c>
      <c r="J25" s="2" t="n">
        <f aca="false">3*D25+E25</f>
        <v>4</v>
      </c>
    </row>
    <row r="27" customFormat="false" ht="15" hidden="false" customHeight="false" outlineLevel="0" collapsed="false">
      <c r="A27" s="2" t="s">
        <v>44</v>
      </c>
      <c r="B27" s="6" t="s">
        <v>45</v>
      </c>
      <c r="C27" s="2" t="n">
        <f aca="false">SUMPRODUCT(('All Matches'!$C$2:$C$73=$A27)*((('All Matches'!$E$2:$E$73=$B27)+('All Matches'!$H$2:$H$73=$B27))&gt;0))</f>
        <v>3</v>
      </c>
      <c r="D27" s="2" t="n">
        <f aca="false">SUMPRODUCT(('All Matches'!$C$2:$C$73=$A27)*((('All Matches'!$E$2:$E$73=$B27)*('All Matches'!$F$2:$F$73&gt;'All Matches'!$G$2:$G$73))+(('All Matches'!$H$2:$H$73=$B27)*('All Matches'!$G$2:$G$73&gt;'All Matches'!$F$2:$F$73))))</f>
        <v>2</v>
      </c>
      <c r="E27" s="2" t="n">
        <f aca="false">SUMPRODUCT(('All Matches'!$C$2:$C$73=$A27)*((('All Matches'!$E$2:$E$73=$B27)+('All Matches'!$H$2:$H$73=$B27))&gt;0)*('All Matches'!$F$2:$F$73='All Matches'!$G$2:$G$73))</f>
        <v>1</v>
      </c>
      <c r="F27" s="2" t="n">
        <f aca="false">SUMPRODUCT(('All Matches'!$C$2:$C$73=$A27)*((('All Matches'!$E$2:$E$73=$B27)*('All Matches'!$F$2:$F$73&lt;'All Matches'!$G$2:$G$73))+(('All Matches'!$H$2:$H$73=$B27)*('All Matches'!$G$2:$G$73&lt;'All Matches'!$F$2:$F$73))))</f>
        <v>0</v>
      </c>
      <c r="G27" s="2" t="n">
        <f aca="false">SUMIFS('All Matches'!$F$2:$F$73,'All Matches'!$C$2:$C$73,$A27,'All Matches'!$E$2:$E$73,$B27)+SUMIFS('All Matches'!$G$2:$G$73,'All Matches'!$C$2:$C$73,$A27,'All Matches'!$H$2:$H$73,$B27)</f>
        <v>10</v>
      </c>
      <c r="H27" s="2" t="n">
        <f aca="false">SUMIFS('All Matches'!$G$2:$G$73,'All Matches'!$C$2:$C$73,$A27,'All Matches'!$E$2:$E$73,$B27)+SUMIFS('All Matches'!$F$2:$F$73,'All Matches'!$C$2:$C$73,$A27,'All Matches'!$H$2:$H$73,$B27)</f>
        <v>4</v>
      </c>
      <c r="I27" s="2" t="n">
        <f aca="false">G27-H27</f>
        <v>6</v>
      </c>
      <c r="J27" s="2" t="n">
        <f aca="false">3*D27+E27</f>
        <v>7</v>
      </c>
    </row>
    <row r="28" customFormat="false" ht="15" hidden="false" customHeight="false" outlineLevel="0" collapsed="false">
      <c r="A28" s="2" t="s">
        <v>44</v>
      </c>
      <c r="B28" s="6" t="s">
        <v>46</v>
      </c>
      <c r="C28" s="2" t="n">
        <f aca="false">SUMPRODUCT(('All Matches'!$C$2:$C$73=$A28)*((('All Matches'!$E$2:$E$73=$B28)+('All Matches'!$H$2:$H$73=$B28))&gt;0))</f>
        <v>3</v>
      </c>
      <c r="D28" s="2" t="n">
        <f aca="false">SUMPRODUCT(('All Matches'!$C$2:$C$73=$A28)*((('All Matches'!$E$2:$E$73=$B28)*('All Matches'!$F$2:$F$73&gt;'All Matches'!$G$2:$G$73))+(('All Matches'!$H$2:$H$73=$B28)*('All Matches'!$G$2:$G$73&gt;'All Matches'!$F$2:$F$73))))</f>
        <v>1</v>
      </c>
      <c r="E28" s="2" t="n">
        <f aca="false">SUMPRODUCT(('All Matches'!$C$2:$C$73=$A28)*((('All Matches'!$E$2:$E$73=$B28)+('All Matches'!$H$2:$H$73=$B28))&gt;0)*('All Matches'!$F$2:$F$73='All Matches'!$G$2:$G$73))</f>
        <v>2</v>
      </c>
      <c r="F28" s="2" t="n">
        <f aca="false">SUMPRODUCT(('All Matches'!$C$2:$C$73=$A28)*((('All Matches'!$E$2:$E$73=$B28)*('All Matches'!$F$2:$F$73&lt;'All Matches'!$G$2:$G$73))+(('All Matches'!$H$2:$H$73=$B28)*('All Matches'!$G$2:$G$73&lt;'All Matches'!$F$2:$F$73))))</f>
        <v>0</v>
      </c>
      <c r="G28" s="2" t="n">
        <f aca="false">SUMIFS('All Matches'!$F$2:$F$73,'All Matches'!$C$2:$C$73,$A28,'All Matches'!$E$2:$E$73,$B28)+SUMIFS('All Matches'!$G$2:$G$73,'All Matches'!$C$2:$C$73,$A28,'All Matches'!$H$2:$H$73,$B28)</f>
        <v>7</v>
      </c>
      <c r="H28" s="2" t="n">
        <f aca="false">SUMIFS('All Matches'!$G$2:$G$73,'All Matches'!$C$2:$C$73,$A28,'All Matches'!$E$2:$E$73,$B28)+SUMIFS('All Matches'!$F$2:$F$73,'All Matches'!$C$2:$C$73,$A28,'All Matches'!$H$2:$H$73,$B28)</f>
        <v>3</v>
      </c>
      <c r="I28" s="2" t="n">
        <f aca="false">G28-H28</f>
        <v>4</v>
      </c>
      <c r="J28" s="2" t="n">
        <f aca="false">3*D28+E28</f>
        <v>5</v>
      </c>
    </row>
    <row r="29" customFormat="false" ht="15" hidden="false" customHeight="false" outlineLevel="0" collapsed="false">
      <c r="A29" s="2" t="s">
        <v>44</v>
      </c>
      <c r="B29" s="6" t="s">
        <v>48</v>
      </c>
      <c r="C29" s="2" t="n">
        <f aca="false">SUMPRODUCT(('All Matches'!$C$2:$C$73=$A29)*((('All Matches'!$E$2:$E$73=$B29)+('All Matches'!$H$2:$H$73=$B29))&gt;0))</f>
        <v>3</v>
      </c>
      <c r="D29" s="2" t="n">
        <f aca="false">SUMPRODUCT(('All Matches'!$C$2:$C$73=$A29)*((('All Matches'!$E$2:$E$73=$B29)*('All Matches'!$F$2:$F$73&gt;'All Matches'!$G$2:$G$73))+(('All Matches'!$H$2:$H$73=$B29)*('All Matches'!$G$2:$G$73&gt;'All Matches'!$F$2:$F$73))))</f>
        <v>1</v>
      </c>
      <c r="E29" s="2" t="n">
        <f aca="false">SUMPRODUCT(('All Matches'!$C$2:$C$73=$A29)*((('All Matches'!$E$2:$E$73=$B29)+('All Matches'!$H$2:$H$73=$B29))&gt;0)*('All Matches'!$F$2:$F$73='All Matches'!$G$2:$G$73))</f>
        <v>1</v>
      </c>
      <c r="F29" s="2" t="n">
        <f aca="false">SUMPRODUCT(('All Matches'!$C$2:$C$73=$A29)*((('All Matches'!$E$2:$E$73=$B29)*('All Matches'!$F$2:$F$73&lt;'All Matches'!$G$2:$G$73))+(('All Matches'!$H$2:$H$73=$B29)*('All Matches'!$G$2:$G$73&lt;'All Matches'!$F$2:$F$73))))</f>
        <v>1</v>
      </c>
      <c r="G29" s="2" t="n">
        <f aca="false">SUMIFS('All Matches'!$F$2:$F$73,'All Matches'!$C$2:$C$73,$A29,'All Matches'!$E$2:$E$73,$B29)+SUMIFS('All Matches'!$G$2:$G$73,'All Matches'!$C$2:$C$73,$A29,'All Matches'!$H$2:$H$73,$B29)</f>
        <v>7</v>
      </c>
      <c r="H29" s="2" t="n">
        <f aca="false">SUMIFS('All Matches'!$G$2:$G$73,'All Matches'!$C$2:$C$73,$A29,'All Matches'!$E$2:$E$73,$B29)+SUMIFS('All Matches'!$F$2:$F$73,'All Matches'!$C$2:$C$73,$A29,'All Matches'!$H$2:$H$73,$B29)</f>
        <v>7</v>
      </c>
      <c r="I29" s="2" t="n">
        <f aca="false">G29-H29</f>
        <v>0</v>
      </c>
      <c r="J29" s="2" t="n">
        <f aca="false">3*D29+E29</f>
        <v>4</v>
      </c>
    </row>
    <row r="30" customFormat="false" ht="15" hidden="false" customHeight="false" outlineLevel="0" collapsed="false">
      <c r="A30" s="2" t="s">
        <v>44</v>
      </c>
      <c r="B30" s="6" t="s">
        <v>49</v>
      </c>
      <c r="C30" s="2" t="n">
        <f aca="false">SUMPRODUCT(('All Matches'!$C$2:$C$73=$A30)*((('All Matches'!$E$2:$E$73=$B30)+('All Matches'!$H$2:$H$73=$B30))&gt;0))</f>
        <v>3</v>
      </c>
      <c r="D30" s="2" t="n">
        <f aca="false">SUMPRODUCT(('All Matches'!$C$2:$C$73=$A30)*((('All Matches'!$E$2:$E$73=$B30)*('All Matches'!$F$2:$F$73&gt;'All Matches'!$G$2:$G$73))+(('All Matches'!$H$2:$H$73=$B30)*('All Matches'!$G$2:$G$73&gt;'All Matches'!$F$2:$F$73))))</f>
        <v>0</v>
      </c>
      <c r="E30" s="2" t="n">
        <f aca="false">SUMPRODUCT(('All Matches'!$C$2:$C$73=$A30)*((('All Matches'!$E$2:$E$73=$B30)+('All Matches'!$H$2:$H$73=$B30))&gt;0)*('All Matches'!$F$2:$F$73='All Matches'!$G$2:$G$73))</f>
        <v>0</v>
      </c>
      <c r="F30" s="2" t="n">
        <f aca="false">SUMPRODUCT(('All Matches'!$C$2:$C$73=$A30)*((('All Matches'!$E$2:$E$73=$B30)*('All Matches'!$F$2:$F$73&lt;'All Matches'!$G$2:$G$73))+(('All Matches'!$H$2:$H$73=$B30)*('All Matches'!$G$2:$G$73&lt;'All Matches'!$F$2:$F$73))))</f>
        <v>3</v>
      </c>
      <c r="G30" s="2" t="n">
        <f aca="false">SUMIFS('All Matches'!$F$2:$F$73,'All Matches'!$C$2:$C$73,$A30,'All Matches'!$E$2:$E$73,$B30)+SUMIFS('All Matches'!$G$2:$G$73,'All Matches'!$C$2:$C$73,$A30,'All Matches'!$H$2:$H$73,$B30)</f>
        <v>2</v>
      </c>
      <c r="H30" s="2" t="n">
        <f aca="false">SUMIFS('All Matches'!$G$2:$G$73,'All Matches'!$C$2:$C$73,$A30,'All Matches'!$E$2:$E$73,$B30)+SUMIFS('All Matches'!$F$2:$F$73,'All Matches'!$C$2:$C$73,$A30,'All Matches'!$H$2:$H$73,$B30)</f>
        <v>12</v>
      </c>
      <c r="I30" s="2" t="n">
        <f aca="false">G30-H30</f>
        <v>-10</v>
      </c>
      <c r="J30" s="2" t="n">
        <f aca="false">3*D30+E30</f>
        <v>0</v>
      </c>
    </row>
    <row r="32" customFormat="false" ht="15" hidden="false" customHeight="false" outlineLevel="0" collapsed="false">
      <c r="A32" s="2" t="s">
        <v>51</v>
      </c>
      <c r="B32" s="6" t="s">
        <v>52</v>
      </c>
      <c r="C32" s="2" t="n">
        <f aca="false">SUMPRODUCT(('All Matches'!$C$2:$C$73=$A32)*((('All Matches'!$E$2:$E$73=$B32)+('All Matches'!$H$2:$H$73=$B32))&gt;0))</f>
        <v>3</v>
      </c>
      <c r="D32" s="2" t="n">
        <f aca="false">SUMPRODUCT(('All Matches'!$C$2:$C$73=$A32)*((('All Matches'!$E$2:$E$73=$B32)*('All Matches'!$F$2:$F$73&gt;'All Matches'!$G$2:$G$73))+(('All Matches'!$H$2:$H$73=$B32)*('All Matches'!$G$2:$G$73&gt;'All Matches'!$F$2:$F$73))))</f>
        <v>1</v>
      </c>
      <c r="E32" s="2" t="n">
        <f aca="false">SUMPRODUCT(('All Matches'!$C$2:$C$73=$A32)*((('All Matches'!$E$2:$E$73=$B32)+('All Matches'!$H$2:$H$73=$B32))&gt;0)*('All Matches'!$F$2:$F$73='All Matches'!$G$2:$G$73))</f>
        <v>2</v>
      </c>
      <c r="F32" s="2" t="n">
        <f aca="false">SUMPRODUCT(('All Matches'!$C$2:$C$73=$A32)*((('All Matches'!$E$2:$E$73=$B32)*('All Matches'!$F$2:$F$73&lt;'All Matches'!$G$2:$G$73))+(('All Matches'!$H$2:$H$73=$B32)*('All Matches'!$G$2:$G$73&lt;'All Matches'!$F$2:$F$73))))</f>
        <v>0</v>
      </c>
      <c r="G32" s="2" t="n">
        <f aca="false">SUMIFS('All Matches'!$F$2:$F$73,'All Matches'!$C$2:$C$73,$A32,'All Matches'!$E$2:$E$73,$B32)+SUMIFS('All Matches'!$G$2:$G$73,'All Matches'!$C$2:$C$73,$A32,'All Matches'!$H$2:$H$73,$B32)</f>
        <v>6</v>
      </c>
      <c r="H32" s="2" t="n">
        <f aca="false">SUMIFS('All Matches'!$G$2:$G$73,'All Matches'!$C$2:$C$73,$A32,'All Matches'!$E$2:$E$73,$B32)+SUMIFS('All Matches'!$F$2:$F$73,'All Matches'!$C$2:$C$73,$A32,'All Matches'!$H$2:$H$73,$B32)</f>
        <v>2</v>
      </c>
      <c r="I32" s="2" t="n">
        <f aca="false">G32-H32</f>
        <v>4</v>
      </c>
      <c r="J32" s="2" t="n">
        <f aca="false">3*D32+E32</f>
        <v>5</v>
      </c>
    </row>
    <row r="33" customFormat="false" ht="15" hidden="false" customHeight="false" outlineLevel="0" collapsed="false">
      <c r="A33" s="2" t="s">
        <v>51</v>
      </c>
      <c r="B33" s="6" t="s">
        <v>53</v>
      </c>
      <c r="C33" s="2" t="n">
        <f aca="false">SUMPRODUCT(('All Matches'!$C$2:$C$73=$A33)*((('All Matches'!$E$2:$E$73=$B33)+('All Matches'!$H$2:$H$73=$B33))&gt;0))</f>
        <v>3</v>
      </c>
      <c r="D33" s="2" t="n">
        <f aca="false">SUMPRODUCT(('All Matches'!$C$2:$C$73=$A33)*((('All Matches'!$E$2:$E$73=$B33)*('All Matches'!$F$2:$F$73&gt;'All Matches'!$G$2:$G$73))+(('All Matches'!$H$2:$H$73=$B33)*('All Matches'!$G$2:$G$73&gt;'All Matches'!$F$2:$F$73))))</f>
        <v>1</v>
      </c>
      <c r="E33" s="2" t="n">
        <f aca="false">SUMPRODUCT(('All Matches'!$C$2:$C$73=$A33)*((('All Matches'!$E$2:$E$73=$B33)+('All Matches'!$H$2:$H$73=$B33))&gt;0)*('All Matches'!$F$2:$F$73='All Matches'!$G$2:$G$73))</f>
        <v>2</v>
      </c>
      <c r="F33" s="2" t="n">
        <f aca="false">SUMPRODUCT(('All Matches'!$C$2:$C$73=$A33)*((('All Matches'!$E$2:$E$73=$B33)*('All Matches'!$F$2:$F$73&lt;'All Matches'!$G$2:$G$73))+(('All Matches'!$H$2:$H$73=$B33)*('All Matches'!$G$2:$G$73&lt;'All Matches'!$F$2:$F$73))))</f>
        <v>0</v>
      </c>
      <c r="G33" s="2" t="n">
        <f aca="false">SUMIFS('All Matches'!$F$2:$F$73,'All Matches'!$C$2:$C$73,$A33,'All Matches'!$E$2:$E$73,$B33)+SUMIFS('All Matches'!$G$2:$G$73,'All Matches'!$C$2:$C$73,$A33,'All Matches'!$H$2:$H$73,$B33)</f>
        <v>5</v>
      </c>
      <c r="H33" s="2" t="n">
        <f aca="false">SUMIFS('All Matches'!$G$2:$G$73,'All Matches'!$C$2:$C$73,$A33,'All Matches'!$E$2:$E$73,$B33)+SUMIFS('All Matches'!$F$2:$F$73,'All Matches'!$C$2:$C$73,$A33,'All Matches'!$H$2:$H$73,$B33)</f>
        <v>3</v>
      </c>
      <c r="I33" s="2" t="n">
        <f aca="false">G33-H33</f>
        <v>2</v>
      </c>
      <c r="J33" s="2" t="n">
        <f aca="false">3*D33+E33</f>
        <v>5</v>
      </c>
    </row>
    <row r="34" customFormat="false" ht="15" hidden="false" customHeight="false" outlineLevel="0" collapsed="false">
      <c r="A34" s="2" t="s">
        <v>51</v>
      </c>
      <c r="B34" s="6" t="s">
        <v>54</v>
      </c>
      <c r="C34" s="2" t="n">
        <f aca="false">SUMPRODUCT(('All Matches'!$C$2:$C$73=$A34)*((('All Matches'!$E$2:$E$73=$B34)+('All Matches'!$H$2:$H$73=$B34))&gt;0))</f>
        <v>3</v>
      </c>
      <c r="D34" s="2" t="n">
        <f aca="false">SUMPRODUCT(('All Matches'!$C$2:$C$73=$A34)*((('All Matches'!$E$2:$E$73=$B34)*('All Matches'!$F$2:$F$73&gt;'All Matches'!$G$2:$G$73))+(('All Matches'!$H$2:$H$73=$B34)*('All Matches'!$G$2:$G$73&gt;'All Matches'!$F$2:$F$73))))</f>
        <v>0</v>
      </c>
      <c r="E34" s="2" t="n">
        <f aca="false">SUMPRODUCT(('All Matches'!$C$2:$C$73=$A34)*((('All Matches'!$E$2:$E$73=$B34)+('All Matches'!$H$2:$H$73=$B34))&gt;0)*('All Matches'!$F$2:$F$73='All Matches'!$G$2:$G$73))</f>
        <v>3</v>
      </c>
      <c r="F34" s="2" t="n">
        <f aca="false">SUMPRODUCT(('All Matches'!$C$2:$C$73=$A34)*((('All Matches'!$E$2:$E$73=$B34)*('All Matches'!$F$2:$F$73&lt;'All Matches'!$G$2:$G$73))+(('All Matches'!$H$2:$H$73=$B34)*('All Matches'!$G$2:$G$73&lt;'All Matches'!$F$2:$F$73))))</f>
        <v>0</v>
      </c>
      <c r="G34" s="2" t="n">
        <f aca="false">SUMIFS('All Matches'!$F$2:$F$73,'All Matches'!$C$2:$C$73,$A34,'All Matches'!$E$2:$E$73,$B34)+SUMIFS('All Matches'!$G$2:$G$73,'All Matches'!$C$2:$C$73,$A34,'All Matches'!$H$2:$H$73,$B34)</f>
        <v>3</v>
      </c>
      <c r="H34" s="2" t="n">
        <f aca="false">SUMIFS('All Matches'!$G$2:$G$73,'All Matches'!$C$2:$C$73,$A34,'All Matches'!$E$2:$E$73,$B34)+SUMIFS('All Matches'!$F$2:$F$73,'All Matches'!$C$2:$C$73,$A34,'All Matches'!$H$2:$H$73,$B34)</f>
        <v>3</v>
      </c>
      <c r="I34" s="2" t="n">
        <f aca="false">G34-H34</f>
        <v>0</v>
      </c>
      <c r="J34" s="2" t="n">
        <f aca="false">3*D34+E34</f>
        <v>3</v>
      </c>
    </row>
    <row r="35" customFormat="false" ht="15" hidden="false" customHeight="false" outlineLevel="0" collapsed="false">
      <c r="A35" s="2" t="s">
        <v>51</v>
      </c>
      <c r="B35" s="6" t="s">
        <v>55</v>
      </c>
      <c r="C35" s="2" t="n">
        <f aca="false">SUMPRODUCT(('All Matches'!$C$2:$C$73=$A35)*((('All Matches'!$E$2:$E$73=$B35)+('All Matches'!$H$2:$H$73=$B35))&gt;0))</f>
        <v>3</v>
      </c>
      <c r="D35" s="2" t="n">
        <f aca="false">SUMPRODUCT(('All Matches'!$C$2:$C$73=$A35)*((('All Matches'!$E$2:$E$73=$B35)*('All Matches'!$F$2:$F$73&gt;'All Matches'!$G$2:$G$73))+(('All Matches'!$H$2:$H$73=$B35)*('All Matches'!$G$2:$G$73&gt;'All Matches'!$F$2:$F$73))))</f>
        <v>0</v>
      </c>
      <c r="E35" s="2" t="n">
        <f aca="false">SUMPRODUCT(('All Matches'!$C$2:$C$73=$A35)*((('All Matches'!$E$2:$E$73=$B35)+('All Matches'!$H$2:$H$73=$B35))&gt;0)*('All Matches'!$F$2:$F$73='All Matches'!$G$2:$G$73))</f>
        <v>1</v>
      </c>
      <c r="F35" s="2" t="n">
        <f aca="false">SUMPRODUCT(('All Matches'!$C$2:$C$73=$A35)*((('All Matches'!$E$2:$E$73=$B35)*('All Matches'!$F$2:$F$73&lt;'All Matches'!$G$2:$G$73))+(('All Matches'!$H$2:$H$73=$B35)*('All Matches'!$G$2:$G$73&lt;'All Matches'!$F$2:$F$73))))</f>
        <v>2</v>
      </c>
      <c r="G35" s="2" t="n">
        <f aca="false">SUMIFS('All Matches'!$F$2:$F$73,'All Matches'!$C$2:$C$73,$A35,'All Matches'!$E$2:$E$73,$B35)+SUMIFS('All Matches'!$G$2:$G$73,'All Matches'!$C$2:$C$73,$A35,'All Matches'!$H$2:$H$73,$B35)</f>
        <v>4</v>
      </c>
      <c r="H35" s="2" t="n">
        <f aca="false">SUMIFS('All Matches'!$G$2:$G$73,'All Matches'!$C$2:$C$73,$A35,'All Matches'!$E$2:$E$73,$B35)+SUMIFS('All Matches'!$F$2:$F$73,'All Matches'!$C$2:$C$73,$A35,'All Matches'!$H$2:$H$73,$B35)</f>
        <v>10</v>
      </c>
      <c r="I35" s="2" t="n">
        <f aca="false">G35-H35</f>
        <v>-6</v>
      </c>
      <c r="J35" s="2" t="n">
        <f aca="false">3*D35+E35</f>
        <v>1</v>
      </c>
    </row>
    <row r="37" customFormat="false" ht="15" hidden="false" customHeight="false" outlineLevel="0" collapsed="false">
      <c r="A37" s="2" t="s">
        <v>58</v>
      </c>
      <c r="B37" s="6" t="s">
        <v>59</v>
      </c>
      <c r="C37" s="2" t="n">
        <f aca="false">SUMPRODUCT(('All Matches'!$C$2:$C$73=$A37)*((('All Matches'!$E$2:$E$73=$B37)+('All Matches'!$H$2:$H$73=$B37))&gt;0))</f>
        <v>3</v>
      </c>
      <c r="D37" s="2" t="n">
        <f aca="false">SUMPRODUCT(('All Matches'!$C$2:$C$73=$A37)*((('All Matches'!$E$2:$E$73=$B37)*('All Matches'!$F$2:$F$73&gt;'All Matches'!$G$2:$G$73))+(('All Matches'!$H$2:$H$73=$B37)*('All Matches'!$G$2:$G$73&gt;'All Matches'!$F$2:$F$73))))</f>
        <v>2</v>
      </c>
      <c r="E37" s="2" t="n">
        <f aca="false">SUMPRODUCT(('All Matches'!$C$2:$C$73=$A37)*((('All Matches'!$E$2:$E$73=$B37)+('All Matches'!$H$2:$H$73=$B37))&gt;0)*('All Matches'!$F$2:$F$73='All Matches'!$G$2:$G$73))</f>
        <v>1</v>
      </c>
      <c r="F37" s="2" t="n">
        <f aca="false">SUMPRODUCT(('All Matches'!$C$2:$C$73=$A37)*((('All Matches'!$E$2:$E$73=$B37)*('All Matches'!$F$2:$F$73&lt;'All Matches'!$G$2:$G$73))+(('All Matches'!$H$2:$H$73=$B37)*('All Matches'!$G$2:$G$73&lt;'All Matches'!$F$2:$F$73))))</f>
        <v>0</v>
      </c>
      <c r="G37" s="2" t="n">
        <f aca="false">SUMIFS('All Matches'!$F$2:$F$73,'All Matches'!$C$2:$C$73,$A37,'All Matches'!$E$2:$E$73,$B37)+SUMIFS('All Matches'!$G$2:$G$73,'All Matches'!$C$2:$C$73,$A37,'All Matches'!$H$2:$H$73,$B37)</f>
        <v>5</v>
      </c>
      <c r="H37" s="2" t="n">
        <f aca="false">SUMIFS('All Matches'!$G$2:$G$73,'All Matches'!$C$2:$C$73,$A37,'All Matches'!$E$2:$E$73,$B37)+SUMIFS('All Matches'!$F$2:$F$73,'All Matches'!$C$2:$C$73,$A37,'All Matches'!$H$2:$H$73,$B37)</f>
        <v>0</v>
      </c>
      <c r="I37" s="2" t="n">
        <f aca="false">G37-H37</f>
        <v>5</v>
      </c>
      <c r="J37" s="2" t="n">
        <f aca="false">3*D37+E37</f>
        <v>7</v>
      </c>
    </row>
    <row r="38" customFormat="false" ht="15" hidden="false" customHeight="false" outlineLevel="0" collapsed="false">
      <c r="A38" s="2" t="s">
        <v>58</v>
      </c>
      <c r="B38" s="6" t="s">
        <v>60</v>
      </c>
      <c r="C38" s="2" t="n">
        <f aca="false">SUMPRODUCT(('All Matches'!$C$2:$C$73=$A38)*((('All Matches'!$E$2:$E$73=$B38)+('All Matches'!$H$2:$H$73=$B38))&gt;0))</f>
        <v>3</v>
      </c>
      <c r="D38" s="2" t="n">
        <f aca="false">SUMPRODUCT(('All Matches'!$C$2:$C$73=$A38)*((('All Matches'!$E$2:$E$73=$B38)*('All Matches'!$F$2:$F$73&gt;'All Matches'!$G$2:$G$73))+(('All Matches'!$H$2:$H$73=$B38)*('All Matches'!$G$2:$G$73&gt;'All Matches'!$F$2:$F$73))))</f>
        <v>0</v>
      </c>
      <c r="E38" s="2" t="n">
        <f aca="false">SUMPRODUCT(('All Matches'!$C$2:$C$73=$A38)*((('All Matches'!$E$2:$E$73=$B38)+('All Matches'!$H$2:$H$73=$B38))&gt;0)*('All Matches'!$F$2:$F$73='All Matches'!$G$2:$G$73))</f>
        <v>3</v>
      </c>
      <c r="F38" s="2" t="n">
        <f aca="false">SUMPRODUCT(('All Matches'!$C$2:$C$73=$A38)*((('All Matches'!$E$2:$E$73=$B38)*('All Matches'!$F$2:$F$73&lt;'All Matches'!$G$2:$G$73))+(('All Matches'!$H$2:$H$73=$B38)*('All Matches'!$G$2:$G$73&lt;'All Matches'!$F$2:$F$73))))</f>
        <v>0</v>
      </c>
      <c r="G38" s="2" t="n">
        <f aca="false">SUMIFS('All Matches'!$F$2:$F$73,'All Matches'!$C$2:$C$73,$A38,'All Matches'!$E$2:$E$73,$B38)+SUMIFS('All Matches'!$G$2:$G$73,'All Matches'!$C$2:$C$73,$A38,'All Matches'!$H$2:$H$73,$B38)</f>
        <v>2</v>
      </c>
      <c r="H38" s="2" t="n">
        <f aca="false">SUMIFS('All Matches'!$G$2:$G$73,'All Matches'!$C$2:$C$73,$A38,'All Matches'!$E$2:$E$73,$B38)+SUMIFS('All Matches'!$F$2:$F$73,'All Matches'!$C$2:$C$73,$A38,'All Matches'!$H$2:$H$73,$B38)</f>
        <v>2</v>
      </c>
      <c r="I38" s="2" t="n">
        <f aca="false">G38-H38</f>
        <v>0</v>
      </c>
      <c r="J38" s="2" t="n">
        <f aca="false">3*D38+E38</f>
        <v>3</v>
      </c>
    </row>
    <row r="39" customFormat="false" ht="15" hidden="false" customHeight="false" outlineLevel="0" collapsed="false">
      <c r="A39" s="2" t="s">
        <v>58</v>
      </c>
      <c r="B39" s="6" t="s">
        <v>61</v>
      </c>
      <c r="C39" s="2" t="n">
        <f aca="false">SUMPRODUCT(('All Matches'!$C$2:$C$73=$A39)*((('All Matches'!$E$2:$E$73=$B39)+('All Matches'!$H$2:$H$73=$B39))&gt;0))</f>
        <v>3</v>
      </c>
      <c r="D39" s="2" t="n">
        <f aca="false">SUMPRODUCT(('All Matches'!$C$2:$C$73=$A39)*((('All Matches'!$E$2:$E$73=$B39)*('All Matches'!$F$2:$F$73&gt;'All Matches'!$G$2:$G$73))+(('All Matches'!$H$2:$H$73=$B39)*('All Matches'!$G$2:$G$73&gt;'All Matches'!$F$2:$F$73))))</f>
        <v>0</v>
      </c>
      <c r="E39" s="2" t="n">
        <f aca="false">SUMPRODUCT(('All Matches'!$C$2:$C$73=$A39)*((('All Matches'!$E$2:$E$73=$B39)+('All Matches'!$H$2:$H$73=$B39))&gt;0)*('All Matches'!$F$2:$F$73='All Matches'!$G$2:$G$73))</f>
        <v>2</v>
      </c>
      <c r="F39" s="2" t="n">
        <f aca="false">SUMPRODUCT(('All Matches'!$C$2:$C$73=$A39)*((('All Matches'!$E$2:$E$73=$B39)*('All Matches'!$F$2:$F$73&lt;'All Matches'!$G$2:$G$73))+(('All Matches'!$H$2:$H$73=$B39)*('All Matches'!$G$2:$G$73&lt;'All Matches'!$F$2:$F$73))))</f>
        <v>1</v>
      </c>
      <c r="G39" s="2" t="n">
        <f aca="false">SUMIFS('All Matches'!$F$2:$F$73,'All Matches'!$C$2:$C$73,$A39,'All Matches'!$E$2:$E$73,$B39)+SUMIFS('All Matches'!$G$2:$G$73,'All Matches'!$C$2:$C$73,$A39,'All Matches'!$H$2:$H$73,$B39)</f>
        <v>1</v>
      </c>
      <c r="H39" s="2" t="n">
        <f aca="false">SUMIFS('All Matches'!$G$2:$G$73,'All Matches'!$C$2:$C$73,$A39,'All Matches'!$E$2:$E$73,$B39)+SUMIFS('All Matches'!$F$2:$F$73,'All Matches'!$C$2:$C$73,$A39,'All Matches'!$H$2:$H$73,$B39)</f>
        <v>5</v>
      </c>
      <c r="I39" s="2" t="n">
        <f aca="false">G39-H39</f>
        <v>-4</v>
      </c>
      <c r="J39" s="2" t="n">
        <f aca="false">3*D39+E39</f>
        <v>2</v>
      </c>
    </row>
    <row r="40" customFormat="false" ht="15" hidden="false" customHeight="false" outlineLevel="0" collapsed="false">
      <c r="A40" s="2" t="s">
        <v>58</v>
      </c>
      <c r="B40" s="6" t="s">
        <v>62</v>
      </c>
      <c r="C40" s="2" t="n">
        <f aca="false">SUMPRODUCT(('All Matches'!$C$2:$C$73=$A40)*((('All Matches'!$E$2:$E$73=$B40)+('All Matches'!$H$2:$H$73=$B40))&gt;0))</f>
        <v>3</v>
      </c>
      <c r="D40" s="2" t="n">
        <f aca="false">SUMPRODUCT(('All Matches'!$C$2:$C$73=$A40)*((('All Matches'!$E$2:$E$73=$B40)*('All Matches'!$F$2:$F$73&gt;'All Matches'!$G$2:$G$73))+(('All Matches'!$H$2:$H$73=$B40)*('All Matches'!$G$2:$G$73&gt;'All Matches'!$F$2:$F$73))))</f>
        <v>0</v>
      </c>
      <c r="E40" s="2" t="n">
        <f aca="false">SUMPRODUCT(('All Matches'!$C$2:$C$73=$A40)*((('All Matches'!$E$2:$E$73=$B40)+('All Matches'!$H$2:$H$73=$B40))&gt;0)*('All Matches'!$F$2:$F$73='All Matches'!$G$2:$G$73))</f>
        <v>2</v>
      </c>
      <c r="F40" s="2" t="n">
        <f aca="false">SUMPRODUCT(('All Matches'!$C$2:$C$73=$A40)*((('All Matches'!$E$2:$E$73=$B40)*('All Matches'!$F$2:$F$73&lt;'All Matches'!$G$2:$G$73))+(('All Matches'!$H$2:$H$73=$B40)*('All Matches'!$G$2:$G$73&lt;'All Matches'!$F$2:$F$73))))</f>
        <v>1</v>
      </c>
      <c r="G40" s="2" t="n">
        <f aca="false">SUMIFS('All Matches'!$F$2:$F$73,'All Matches'!$C$2:$C$73,$A40,'All Matches'!$E$2:$E$73,$B40)+SUMIFS('All Matches'!$G$2:$G$73,'All Matches'!$C$2:$C$73,$A40,'All Matches'!$H$2:$H$73,$B40)</f>
        <v>3</v>
      </c>
      <c r="H40" s="2" t="n">
        <f aca="false">SUMIFS('All Matches'!$G$2:$G$73,'All Matches'!$C$2:$C$73,$A40,'All Matches'!$E$2:$E$73,$B40)+SUMIFS('All Matches'!$F$2:$F$73,'All Matches'!$C$2:$C$73,$A40,'All Matches'!$H$2:$H$73,$B40)</f>
        <v>4</v>
      </c>
      <c r="I40" s="2" t="n">
        <f aca="false">G40-H40</f>
        <v>-1</v>
      </c>
      <c r="J40" s="2" t="n">
        <f aca="false">3*D40+E40</f>
        <v>2</v>
      </c>
    </row>
    <row r="42" customFormat="false" ht="15" hidden="false" customHeight="false" outlineLevel="0" collapsed="false">
      <c r="A42" s="2" t="s">
        <v>63</v>
      </c>
      <c r="B42" s="6" t="s">
        <v>65</v>
      </c>
      <c r="C42" s="2" t="n">
        <f aca="false">SUMPRODUCT(('All Matches'!$C$2:$C$73=$A42)*((('All Matches'!$E$2:$E$73=$B42)+('All Matches'!$H$2:$H$73=$B42))&gt;0))</f>
        <v>3</v>
      </c>
      <c r="D42" s="2" t="n">
        <f aca="false">SUMPRODUCT(('All Matches'!$C$2:$C$73=$A42)*((('All Matches'!$E$2:$E$73=$B42)*('All Matches'!$F$2:$F$73&gt;'All Matches'!$G$2:$G$73))+(('All Matches'!$H$2:$H$73=$B42)*('All Matches'!$G$2:$G$73&gt;'All Matches'!$F$2:$F$73))))</f>
        <v>3</v>
      </c>
      <c r="E42" s="2" t="n">
        <f aca="false">SUMPRODUCT(('All Matches'!$C$2:$C$73=$A42)*((('All Matches'!$E$2:$E$73=$B42)+('All Matches'!$H$2:$H$73=$B42))&gt;0)*('All Matches'!$F$2:$F$73='All Matches'!$G$2:$G$73))</f>
        <v>0</v>
      </c>
      <c r="F42" s="2" t="n">
        <f aca="false">SUMPRODUCT(('All Matches'!$C$2:$C$73=$A42)*((('All Matches'!$E$2:$E$73=$B42)*('All Matches'!$F$2:$F$73&lt;'All Matches'!$G$2:$G$73))+(('All Matches'!$H$2:$H$73=$B42)*('All Matches'!$G$2:$G$73&lt;'All Matches'!$F$2:$F$73))))</f>
        <v>0</v>
      </c>
      <c r="G42" s="2" t="n">
        <f aca="false">SUMIFS('All Matches'!$F$2:$F$73,'All Matches'!$C$2:$C$73,$A42,'All Matches'!$E$2:$E$73,$B42)+SUMIFS('All Matches'!$G$2:$G$73,'All Matches'!$C$2:$C$73,$A42,'All Matches'!$H$2:$H$73,$B42)</f>
        <v>10</v>
      </c>
      <c r="H42" s="2" t="n">
        <f aca="false">SUMIFS('All Matches'!$G$2:$G$73,'All Matches'!$C$2:$C$73,$A42,'All Matches'!$E$2:$E$73,$B42)+SUMIFS('All Matches'!$F$2:$F$73,'All Matches'!$C$2:$C$73,$A42,'All Matches'!$H$2:$H$73,$B42)</f>
        <v>2</v>
      </c>
      <c r="I42" s="2" t="n">
        <f aca="false">G42-H42</f>
        <v>8</v>
      </c>
      <c r="J42" s="2" t="n">
        <f aca="false">3*D42+E42</f>
        <v>9</v>
      </c>
    </row>
    <row r="43" customFormat="false" ht="15" hidden="false" customHeight="false" outlineLevel="0" collapsed="false">
      <c r="A43" s="2" t="s">
        <v>63</v>
      </c>
      <c r="B43" s="6" t="s">
        <v>66</v>
      </c>
      <c r="C43" s="2" t="n">
        <f aca="false">SUMPRODUCT(('All Matches'!$C$2:$C$73=$A43)*((('All Matches'!$E$2:$E$73=$B43)+('All Matches'!$H$2:$H$73=$B43))&gt;0))</f>
        <v>3</v>
      </c>
      <c r="D43" s="2" t="n">
        <f aca="false">SUMPRODUCT(('All Matches'!$C$2:$C$73=$A43)*((('All Matches'!$E$2:$E$73=$B43)*('All Matches'!$F$2:$F$73&gt;'All Matches'!$G$2:$G$73))+(('All Matches'!$H$2:$H$73=$B43)*('All Matches'!$G$2:$G$73&gt;'All Matches'!$F$2:$F$73))))</f>
        <v>1</v>
      </c>
      <c r="E43" s="2" t="n">
        <f aca="false">SUMPRODUCT(('All Matches'!$C$2:$C$73=$A43)*((('All Matches'!$E$2:$E$73=$B43)+('All Matches'!$H$2:$H$73=$B43))&gt;0)*('All Matches'!$F$2:$F$73='All Matches'!$G$2:$G$73))</f>
        <v>0</v>
      </c>
      <c r="F43" s="2" t="n">
        <f aca="false">SUMPRODUCT(('All Matches'!$C$2:$C$73=$A43)*((('All Matches'!$E$2:$E$73=$B43)*('All Matches'!$F$2:$F$73&lt;'All Matches'!$G$2:$G$73))+(('All Matches'!$H$2:$H$73=$B43)*('All Matches'!$G$2:$G$73&lt;'All Matches'!$F$2:$F$73))))</f>
        <v>2</v>
      </c>
      <c r="G43" s="2" t="n">
        <f aca="false">SUMIFS('All Matches'!$F$2:$F$73,'All Matches'!$C$2:$C$73,$A43,'All Matches'!$E$2:$E$73,$B43)+SUMIFS('All Matches'!$G$2:$G$73,'All Matches'!$C$2:$C$73,$A43,'All Matches'!$H$2:$H$73,$B43)</f>
        <v>8</v>
      </c>
      <c r="H43" s="2" t="n">
        <f aca="false">SUMIFS('All Matches'!$G$2:$G$73,'All Matches'!$C$2:$C$73,$A43,'All Matches'!$E$2:$E$73,$B43)+SUMIFS('All Matches'!$F$2:$F$73,'All Matches'!$C$2:$C$73,$A43,'All Matches'!$H$2:$H$73,$B43)</f>
        <v>6</v>
      </c>
      <c r="I43" s="2" t="n">
        <f aca="false">G43-H43</f>
        <v>2</v>
      </c>
      <c r="J43" s="2" t="n">
        <f aca="false">3*D43+E43</f>
        <v>3</v>
      </c>
    </row>
    <row r="44" customFormat="false" ht="15" hidden="false" customHeight="false" outlineLevel="0" collapsed="false">
      <c r="A44" s="2" t="s">
        <v>63</v>
      </c>
      <c r="B44" s="6" t="s">
        <v>68</v>
      </c>
      <c r="C44" s="2" t="n">
        <f aca="false">SUMPRODUCT(('All Matches'!$C$2:$C$73=$A44)*((('All Matches'!$E$2:$E$73=$B44)+('All Matches'!$H$2:$H$73=$B44))&gt;0))</f>
        <v>3</v>
      </c>
      <c r="D44" s="2" t="n">
        <f aca="false">SUMPRODUCT(('All Matches'!$C$2:$C$73=$A44)*((('All Matches'!$E$2:$E$73=$B44)*('All Matches'!$F$2:$F$73&gt;'All Matches'!$G$2:$G$73))+(('All Matches'!$H$2:$H$73=$B44)*('All Matches'!$G$2:$G$73&gt;'All Matches'!$F$2:$F$73))))</f>
        <v>0</v>
      </c>
      <c r="E44" s="2" t="n">
        <f aca="false">SUMPRODUCT(('All Matches'!$C$2:$C$73=$A44)*((('All Matches'!$E$2:$E$73=$B44)+('All Matches'!$H$2:$H$73=$B44))&gt;0)*('All Matches'!$F$2:$F$73='All Matches'!$G$2:$G$73))</f>
        <v>0</v>
      </c>
      <c r="F44" s="2" t="n">
        <f aca="false">SUMPRODUCT(('All Matches'!$C$2:$C$73=$A44)*((('All Matches'!$E$2:$E$73=$B44)*('All Matches'!$F$2:$F$73&lt;'All Matches'!$G$2:$G$73))+(('All Matches'!$H$2:$H$73=$B44)*('All Matches'!$G$2:$G$73&lt;'All Matches'!$F$2:$F$73))))</f>
        <v>3</v>
      </c>
      <c r="G44" s="2" t="n">
        <f aca="false">SUMIFS('All Matches'!$F$2:$F$73,'All Matches'!$C$2:$C$73,$A44,'All Matches'!$E$2:$E$73,$B44)+SUMIFS('All Matches'!$G$2:$G$73,'All Matches'!$C$2:$C$73,$A44,'All Matches'!$H$2:$H$73,$B44)</f>
        <v>1</v>
      </c>
      <c r="H44" s="2" t="n">
        <f aca="false">SUMIFS('All Matches'!$G$2:$G$73,'All Matches'!$C$2:$C$73,$A44,'All Matches'!$E$2:$E$73,$B44)+SUMIFS('All Matches'!$F$2:$F$73,'All Matches'!$C$2:$C$73,$A44,'All Matches'!$H$2:$H$73,$B44)</f>
        <v>12</v>
      </c>
      <c r="I44" s="2" t="n">
        <f aca="false">G44-H44</f>
        <v>-11</v>
      </c>
      <c r="J44" s="2" t="n">
        <f aca="false">3*D44+E44</f>
        <v>0</v>
      </c>
    </row>
    <row r="45" customFormat="false" ht="15" hidden="false" customHeight="false" outlineLevel="0" collapsed="false">
      <c r="A45" s="2" t="s">
        <v>63</v>
      </c>
      <c r="B45" s="6" t="s">
        <v>69</v>
      </c>
      <c r="C45" s="2" t="n">
        <f aca="false">SUMPRODUCT(('All Matches'!$C$2:$C$73=$A45)*((('All Matches'!$E$2:$E$73=$B45)+('All Matches'!$H$2:$H$73=$B45))&gt;0))</f>
        <v>3</v>
      </c>
      <c r="D45" s="2" t="n">
        <f aca="false">SUMPRODUCT(('All Matches'!$C$2:$C$73=$A45)*((('All Matches'!$E$2:$E$73=$B45)*('All Matches'!$F$2:$F$73&gt;'All Matches'!$G$2:$G$73))+(('All Matches'!$H$2:$H$73=$B45)*('All Matches'!$G$2:$G$73&gt;'All Matches'!$F$2:$F$73))))</f>
        <v>2</v>
      </c>
      <c r="E45" s="2" t="n">
        <f aca="false">SUMPRODUCT(('All Matches'!$C$2:$C$73=$A45)*((('All Matches'!$E$2:$E$73=$B45)+('All Matches'!$H$2:$H$73=$B45))&gt;0)*('All Matches'!$F$2:$F$73='All Matches'!$G$2:$G$73))</f>
        <v>0</v>
      </c>
      <c r="F45" s="2" t="n">
        <f aca="false">SUMPRODUCT(('All Matches'!$C$2:$C$73=$A45)*((('All Matches'!$E$2:$E$73=$B45)*('All Matches'!$F$2:$F$73&lt;'All Matches'!$G$2:$G$73))+(('All Matches'!$H$2:$H$73=$B45)*('All Matches'!$G$2:$G$73&lt;'All Matches'!$F$2:$F$73))))</f>
        <v>1</v>
      </c>
      <c r="G45" s="2" t="n">
        <f aca="false">SUMIFS('All Matches'!$F$2:$F$73,'All Matches'!$C$2:$C$73,$A45,'All Matches'!$E$2:$E$73,$B45)+SUMIFS('All Matches'!$G$2:$G$73,'All Matches'!$C$2:$C$73,$A45,'All Matches'!$H$2:$H$73,$B45)</f>
        <v>8</v>
      </c>
      <c r="H45" s="2" t="n">
        <f aca="false">SUMIFS('All Matches'!$G$2:$G$73,'All Matches'!$C$2:$C$73,$A45,'All Matches'!$E$2:$E$73,$B45)+SUMIFS('All Matches'!$F$2:$F$73,'All Matches'!$C$2:$C$73,$A45,'All Matches'!$H$2:$H$73,$B45)</f>
        <v>7</v>
      </c>
      <c r="I45" s="2" t="n">
        <f aca="false">G45-H45</f>
        <v>1</v>
      </c>
      <c r="J45" s="2" t="n">
        <f aca="false">3*D45+E45</f>
        <v>6</v>
      </c>
    </row>
    <row r="47" customFormat="false" ht="15" hidden="false" customHeight="false" outlineLevel="0" collapsed="false">
      <c r="A47" s="2" t="s">
        <v>71</v>
      </c>
      <c r="B47" s="6" t="s">
        <v>72</v>
      </c>
      <c r="C47" s="2" t="n">
        <f aca="false">SUMPRODUCT(('All Matches'!$C$2:$C$73=$A47)*((('All Matches'!$E$2:$E$73=$B47)+('All Matches'!$H$2:$H$73=$B47))&gt;0))</f>
        <v>3</v>
      </c>
      <c r="D47" s="2" t="n">
        <f aca="false">SUMPRODUCT(('All Matches'!$C$2:$C$73=$A47)*((('All Matches'!$E$2:$E$73=$B47)*('All Matches'!$F$2:$F$73&gt;'All Matches'!$G$2:$G$73))+(('All Matches'!$H$2:$H$73=$B47)*('All Matches'!$G$2:$G$73&gt;'All Matches'!$F$2:$F$73))))</f>
        <v>3</v>
      </c>
      <c r="E47" s="2" t="n">
        <f aca="false">SUMPRODUCT(('All Matches'!$C$2:$C$73=$A47)*((('All Matches'!$E$2:$E$73=$B47)+('All Matches'!$H$2:$H$73=$B47))&gt;0)*('All Matches'!$F$2:$F$73='All Matches'!$G$2:$G$73))</f>
        <v>0</v>
      </c>
      <c r="F47" s="2" t="n">
        <f aca="false">SUMPRODUCT(('All Matches'!$C$2:$C$73=$A47)*((('All Matches'!$E$2:$E$73=$B47)*('All Matches'!$F$2:$F$73&lt;'All Matches'!$G$2:$G$73))+(('All Matches'!$H$2:$H$73=$B47)*('All Matches'!$G$2:$G$73&lt;'All Matches'!$F$2:$F$73))))</f>
        <v>0</v>
      </c>
      <c r="G47" s="2" t="n">
        <f aca="false">SUMIFS('All Matches'!$F$2:$F$73,'All Matches'!$C$2:$C$73,$A47,'All Matches'!$E$2:$E$73,$B47)+SUMIFS('All Matches'!$G$2:$G$73,'All Matches'!$C$2:$C$73,$A47,'All Matches'!$H$2:$H$73,$B47)</f>
        <v>8</v>
      </c>
      <c r="H47" s="2" t="n">
        <f aca="false">SUMIFS('All Matches'!$G$2:$G$73,'All Matches'!$C$2:$C$73,$A47,'All Matches'!$E$2:$E$73,$B47)+SUMIFS('All Matches'!$F$2:$F$73,'All Matches'!$C$2:$C$73,$A47,'All Matches'!$H$2:$H$73,$B47)</f>
        <v>1</v>
      </c>
      <c r="I47" s="2" t="n">
        <f aca="false">G47-H47</f>
        <v>7</v>
      </c>
      <c r="J47" s="2" t="n">
        <f aca="false">3*D47+E47</f>
        <v>9</v>
      </c>
    </row>
    <row r="48" customFormat="false" ht="15" hidden="false" customHeight="false" outlineLevel="0" collapsed="false">
      <c r="A48" s="2" t="s">
        <v>71</v>
      </c>
      <c r="B48" s="6" t="s">
        <v>73</v>
      </c>
      <c r="C48" s="2" t="n">
        <f aca="false">SUMPRODUCT(('All Matches'!$C$2:$C$73=$A48)*((('All Matches'!$E$2:$E$73=$B48)+('All Matches'!$H$2:$H$73=$B48))&gt;0))</f>
        <v>3</v>
      </c>
      <c r="D48" s="2" t="n">
        <f aca="false">SUMPRODUCT(('All Matches'!$C$2:$C$73=$A48)*((('All Matches'!$E$2:$E$73=$B48)*('All Matches'!$F$2:$F$73&gt;'All Matches'!$G$2:$G$73))+(('All Matches'!$H$2:$H$73=$B48)*('All Matches'!$G$2:$G$73&gt;'All Matches'!$F$2:$F$73))))</f>
        <v>1</v>
      </c>
      <c r="E48" s="2" t="n">
        <f aca="false">SUMPRODUCT(('All Matches'!$C$2:$C$73=$A48)*((('All Matches'!$E$2:$E$73=$B48)+('All Matches'!$H$2:$H$73=$B48))&gt;0)*('All Matches'!$F$2:$F$73='All Matches'!$G$2:$G$73))</f>
        <v>1</v>
      </c>
      <c r="F48" s="2" t="n">
        <f aca="false">SUMPRODUCT(('All Matches'!$C$2:$C$73=$A48)*((('All Matches'!$E$2:$E$73=$B48)*('All Matches'!$F$2:$F$73&lt;'All Matches'!$G$2:$G$73))+(('All Matches'!$H$2:$H$73=$B48)*('All Matches'!$G$2:$G$73&lt;'All Matches'!$F$2:$F$73))))</f>
        <v>1</v>
      </c>
      <c r="G48" s="2" t="n">
        <f aca="false">SUMIFS('All Matches'!$F$2:$F$73,'All Matches'!$C$2:$C$73,$A48,'All Matches'!$E$2:$E$73,$B48)+SUMIFS('All Matches'!$G$2:$G$73,'All Matches'!$C$2:$C$73,$A48,'All Matches'!$H$2:$H$73,$B48)</f>
        <v>5</v>
      </c>
      <c r="H48" s="2" t="n">
        <f aca="false">SUMIFS('All Matches'!$G$2:$G$73,'All Matches'!$C$2:$C$73,$A48,'All Matches'!$E$2:$E$73,$B48)+SUMIFS('All Matches'!$F$2:$F$73,'All Matches'!$C$2:$C$73,$A48,'All Matches'!$H$2:$H$73,$B48)</f>
        <v>7</v>
      </c>
      <c r="I48" s="2" t="n">
        <f aca="false">G48-H48</f>
        <v>-2</v>
      </c>
      <c r="J48" s="2" t="n">
        <f aca="false">3*D48+E48</f>
        <v>4</v>
      </c>
    </row>
    <row r="49" customFormat="false" ht="15" hidden="false" customHeight="false" outlineLevel="0" collapsed="false">
      <c r="A49" s="2" t="s">
        <v>71</v>
      </c>
      <c r="B49" s="6" t="s">
        <v>74</v>
      </c>
      <c r="C49" s="2" t="n">
        <f aca="false">SUMPRODUCT(('All Matches'!$C$2:$C$73=$A49)*((('All Matches'!$E$2:$E$73=$B49)+('All Matches'!$H$2:$H$73=$B49))&gt;0))</f>
        <v>3</v>
      </c>
      <c r="D49" s="2" t="n">
        <f aca="false">SUMPRODUCT(('All Matches'!$C$2:$C$73=$A49)*((('All Matches'!$E$2:$E$73=$B49)*('All Matches'!$F$2:$F$73&gt;'All Matches'!$G$2:$G$73))+(('All Matches'!$H$2:$H$73=$B49)*('All Matches'!$G$2:$G$73&gt;'All Matches'!$F$2:$F$73))))</f>
        <v>1</v>
      </c>
      <c r="E49" s="2" t="n">
        <f aca="false">SUMPRODUCT(('All Matches'!$C$2:$C$73=$A49)*((('All Matches'!$E$2:$E$73=$B49)+('All Matches'!$H$2:$H$73=$B49))&gt;0)*('All Matches'!$F$2:$F$73='All Matches'!$G$2:$G$73))</f>
        <v>1</v>
      </c>
      <c r="F49" s="2" t="n">
        <f aca="false">SUMPRODUCT(('All Matches'!$C$2:$C$73=$A49)*((('All Matches'!$E$2:$E$73=$B49)*('All Matches'!$F$2:$F$73&lt;'All Matches'!$G$2:$G$73))+(('All Matches'!$H$2:$H$73=$B49)*('All Matches'!$G$2:$G$73&lt;'All Matches'!$F$2:$F$73))))</f>
        <v>1</v>
      </c>
      <c r="G49" s="2" t="n">
        <f aca="false">SUMIFS('All Matches'!$F$2:$F$73,'All Matches'!$C$2:$C$73,$A49,'All Matches'!$E$2:$E$73,$B49)+SUMIFS('All Matches'!$G$2:$G$73,'All Matches'!$C$2:$C$73,$A49,'All Matches'!$H$2:$H$73,$B49)</f>
        <v>6</v>
      </c>
      <c r="H49" s="2" t="n">
        <f aca="false">SUMIFS('All Matches'!$G$2:$G$73,'All Matches'!$C$2:$C$73,$A49,'All Matches'!$E$2:$E$73,$B49)+SUMIFS('All Matches'!$F$2:$F$73,'All Matches'!$C$2:$C$73,$A49,'All Matches'!$H$2:$H$73,$B49)</f>
        <v>6</v>
      </c>
      <c r="I49" s="2" t="n">
        <f aca="false">G49-H49</f>
        <v>0</v>
      </c>
      <c r="J49" s="2" t="n">
        <f aca="false">3*D49+E49</f>
        <v>4</v>
      </c>
    </row>
    <row r="50" customFormat="false" ht="15" hidden="false" customHeight="false" outlineLevel="0" collapsed="false">
      <c r="A50" s="2" t="s">
        <v>71</v>
      </c>
      <c r="B50" s="6" t="s">
        <v>75</v>
      </c>
      <c r="C50" s="2" t="n">
        <f aca="false">SUMPRODUCT(('All Matches'!$C$2:$C$73=$A50)*((('All Matches'!$E$2:$E$73=$B50)+('All Matches'!$H$2:$H$73=$B50))&gt;0))</f>
        <v>3</v>
      </c>
      <c r="D50" s="2" t="n">
        <f aca="false">SUMPRODUCT(('All Matches'!$C$2:$C$73=$A50)*((('All Matches'!$E$2:$E$73=$B50)*('All Matches'!$F$2:$F$73&gt;'All Matches'!$G$2:$G$73))+(('All Matches'!$H$2:$H$73=$B50)*('All Matches'!$G$2:$G$73&gt;'All Matches'!$F$2:$F$73))))</f>
        <v>0</v>
      </c>
      <c r="E50" s="2" t="n">
        <f aca="false">SUMPRODUCT(('All Matches'!$C$2:$C$73=$A50)*((('All Matches'!$E$2:$E$73=$B50)+('All Matches'!$H$2:$H$73=$B50))&gt;0)*('All Matches'!$F$2:$F$73='All Matches'!$G$2:$G$73))</f>
        <v>0</v>
      </c>
      <c r="F50" s="2" t="n">
        <f aca="false">SUMPRODUCT(('All Matches'!$C$2:$C$73=$A50)*((('All Matches'!$E$2:$E$73=$B50)*('All Matches'!$F$2:$F$73&lt;'All Matches'!$G$2:$G$73))+(('All Matches'!$H$2:$H$73=$B50)*('All Matches'!$G$2:$G$73&lt;'All Matches'!$F$2:$F$73))))</f>
        <v>3</v>
      </c>
      <c r="G50" s="2" t="n">
        <f aca="false">SUMIFS('All Matches'!$F$2:$F$73,'All Matches'!$C$2:$C$73,$A50,'All Matches'!$E$2:$E$73,$B50)+SUMIFS('All Matches'!$G$2:$G$73,'All Matches'!$C$2:$C$73,$A50,'All Matches'!$H$2:$H$73,$B50)</f>
        <v>3</v>
      </c>
      <c r="H50" s="2" t="n">
        <f aca="false">SUMIFS('All Matches'!$G$2:$G$73,'All Matches'!$C$2:$C$73,$A50,'All Matches'!$E$2:$E$73,$B50)+SUMIFS('All Matches'!$F$2:$F$73,'All Matches'!$C$2:$C$73,$A50,'All Matches'!$H$2:$H$73,$B50)</f>
        <v>8</v>
      </c>
      <c r="I50" s="2" t="n">
        <f aca="false">G50-H50</f>
        <v>-5</v>
      </c>
      <c r="J50" s="2" t="n">
        <f aca="false">3*D50+E50</f>
        <v>0</v>
      </c>
    </row>
    <row r="52" customFormat="false" ht="15" hidden="false" customHeight="false" outlineLevel="0" collapsed="false">
      <c r="A52" s="2" t="s">
        <v>77</v>
      </c>
      <c r="B52" s="6" t="s">
        <v>78</v>
      </c>
      <c r="C52" s="2" t="n">
        <f aca="false">SUMPRODUCT(('All Matches'!$C$2:$C$73=$A52)*((('All Matches'!$E$2:$E$73=$B52)+('All Matches'!$H$2:$H$73=$B52))&gt;0))</f>
        <v>3</v>
      </c>
      <c r="D52" s="2" t="n">
        <f aca="false">SUMPRODUCT(('All Matches'!$C$2:$C$73=$A52)*((('All Matches'!$E$2:$E$73=$B52)*('All Matches'!$F$2:$F$73&gt;'All Matches'!$G$2:$G$73))+(('All Matches'!$H$2:$H$73=$B52)*('All Matches'!$G$2:$G$73&gt;'All Matches'!$F$2:$F$73))))</f>
        <v>1</v>
      </c>
      <c r="E52" s="2" t="n">
        <f aca="false">SUMPRODUCT(('All Matches'!$C$2:$C$73=$A52)*((('All Matches'!$E$2:$E$73=$B52)+('All Matches'!$H$2:$H$73=$B52))&gt;0)*('All Matches'!$F$2:$F$73='All Matches'!$G$2:$G$73))</f>
        <v>2</v>
      </c>
      <c r="F52" s="2" t="n">
        <f aca="false">SUMPRODUCT(('All Matches'!$C$2:$C$73=$A52)*((('All Matches'!$E$2:$E$73=$B52)*('All Matches'!$F$2:$F$73&lt;'All Matches'!$G$2:$G$73))+(('All Matches'!$H$2:$H$73=$B52)*('All Matches'!$G$2:$G$73&lt;'All Matches'!$F$2:$F$73))))</f>
        <v>0</v>
      </c>
      <c r="G52" s="2" t="n">
        <f aca="false">SUMIFS('All Matches'!$F$2:$F$73,'All Matches'!$C$2:$C$73,$A52,'All Matches'!$E$2:$E$73,$B52)+SUMIFS('All Matches'!$G$2:$G$73,'All Matches'!$C$2:$C$73,$A52,'All Matches'!$H$2:$H$73,$B52)</f>
        <v>6</v>
      </c>
      <c r="H52" s="2" t="n">
        <f aca="false">SUMIFS('All Matches'!$G$2:$G$73,'All Matches'!$C$2:$C$73,$A52,'All Matches'!$E$2:$E$73,$B52)+SUMIFS('All Matches'!$F$2:$F$73,'All Matches'!$C$2:$C$73,$A52,'All Matches'!$H$2:$H$73,$B52)</f>
        <v>1</v>
      </c>
      <c r="I52" s="2" t="n">
        <f aca="false">G52-H52</f>
        <v>5</v>
      </c>
      <c r="J52" s="2" t="n">
        <f aca="false">3*D52+E52</f>
        <v>5</v>
      </c>
    </row>
    <row r="53" customFormat="false" ht="15" hidden="false" customHeight="false" outlineLevel="0" collapsed="false">
      <c r="A53" s="2" t="s">
        <v>77</v>
      </c>
      <c r="B53" s="6" t="s">
        <v>79</v>
      </c>
      <c r="C53" s="2" t="n">
        <f aca="false">SUMPRODUCT(('All Matches'!$C$2:$C$73=$A53)*((('All Matches'!$E$2:$E$73=$B53)+('All Matches'!$H$2:$H$73=$B53))&gt;0))</f>
        <v>3</v>
      </c>
      <c r="D53" s="2" t="n">
        <f aca="false">SUMPRODUCT(('All Matches'!$C$2:$C$73=$A53)*((('All Matches'!$E$2:$E$73=$B53)*('All Matches'!$F$2:$F$73&gt;'All Matches'!$G$2:$G$73))+(('All Matches'!$H$2:$H$73=$B53)*('All Matches'!$G$2:$G$73&gt;'All Matches'!$F$2:$F$73))))</f>
        <v>1</v>
      </c>
      <c r="E53" s="2" t="n">
        <f aca="false">SUMPRODUCT(('All Matches'!$C$2:$C$73=$A53)*((('All Matches'!$E$2:$E$73=$B53)+('All Matches'!$H$2:$H$73=$B53))&gt;0)*('All Matches'!$F$2:$F$73='All Matches'!$G$2:$G$73))</f>
        <v>1</v>
      </c>
      <c r="F53" s="2" t="n">
        <f aca="false">SUMPRODUCT(('All Matches'!$C$2:$C$73=$A53)*((('All Matches'!$E$2:$E$73=$B53)*('All Matches'!$F$2:$F$73&lt;'All Matches'!$G$2:$G$73))+(('All Matches'!$H$2:$H$73=$B53)*('All Matches'!$G$2:$G$73&lt;'All Matches'!$F$2:$F$73))))</f>
        <v>1</v>
      </c>
      <c r="G53" s="2" t="n">
        <f aca="false">SUMIFS('All Matches'!$F$2:$F$73,'All Matches'!$C$2:$C$73,$A53,'All Matches'!$E$2:$E$73,$B53)+SUMIFS('All Matches'!$G$2:$G$73,'All Matches'!$C$2:$C$73,$A53,'All Matches'!$H$2:$H$73,$B53)</f>
        <v>4</v>
      </c>
      <c r="H53" s="2" t="n">
        <f aca="false">SUMIFS('All Matches'!$G$2:$G$73,'All Matches'!$C$2:$C$73,$A53,'All Matches'!$E$2:$E$73,$B53)+SUMIFS('All Matches'!$F$2:$F$73,'All Matches'!$C$2:$C$73,$A53,'All Matches'!$H$2:$H$73,$B53)</f>
        <v>3</v>
      </c>
      <c r="I53" s="2" t="n">
        <f aca="false">G53-H53</f>
        <v>1</v>
      </c>
      <c r="J53" s="2" t="n">
        <f aca="false">3*D53+E53</f>
        <v>4</v>
      </c>
    </row>
    <row r="54" customFormat="false" ht="15" hidden="false" customHeight="false" outlineLevel="0" collapsed="false">
      <c r="A54" s="2" t="s">
        <v>77</v>
      </c>
      <c r="B54" s="6" t="s">
        <v>80</v>
      </c>
      <c r="C54" s="2" t="n">
        <f aca="false">SUMPRODUCT(('All Matches'!$C$2:$C$73=$A54)*((('All Matches'!$E$2:$E$73=$B54)+('All Matches'!$H$2:$H$73=$B54))&gt;0))</f>
        <v>3</v>
      </c>
      <c r="D54" s="2" t="n">
        <f aca="false">SUMPRODUCT(('All Matches'!$C$2:$C$73=$A54)*((('All Matches'!$E$2:$E$73=$B54)*('All Matches'!$F$2:$F$73&gt;'All Matches'!$G$2:$G$73))+(('All Matches'!$H$2:$H$73=$B54)*('All Matches'!$G$2:$G$73&gt;'All Matches'!$F$2:$F$73))))</f>
        <v>0</v>
      </c>
      <c r="E54" s="2" t="n">
        <f aca="false">SUMPRODUCT(('All Matches'!$C$2:$C$73=$A54)*((('All Matches'!$E$2:$E$73=$B54)+('All Matches'!$H$2:$H$73=$B54))&gt;0)*('All Matches'!$F$2:$F$73='All Matches'!$G$2:$G$73))</f>
        <v>0</v>
      </c>
      <c r="F54" s="2" t="n">
        <f aca="false">SUMPRODUCT(('All Matches'!$C$2:$C$73=$A54)*((('All Matches'!$E$2:$E$73=$B54)*('All Matches'!$F$2:$F$73&lt;'All Matches'!$G$2:$G$73))+(('All Matches'!$H$2:$H$73=$B54)*('All Matches'!$G$2:$G$73&lt;'All Matches'!$F$2:$F$73))))</f>
        <v>3</v>
      </c>
      <c r="G54" s="2" t="n">
        <f aca="false">SUMIFS('All Matches'!$F$2:$F$73,'All Matches'!$C$2:$C$73,$A54,'All Matches'!$E$2:$E$73,$B54)+SUMIFS('All Matches'!$G$2:$G$73,'All Matches'!$C$2:$C$73,$A54,'All Matches'!$H$2:$H$73,$B54)</f>
        <v>2</v>
      </c>
      <c r="H54" s="2" t="n">
        <f aca="false">SUMIFS('All Matches'!$G$2:$G$73,'All Matches'!$C$2:$C$73,$A54,'All Matches'!$E$2:$E$73,$B54)+SUMIFS('All Matches'!$F$2:$F$73,'All Matches'!$C$2:$C$73,$A54,'All Matches'!$H$2:$H$73,$B54)</f>
        <v>11</v>
      </c>
      <c r="I54" s="2" t="n">
        <f aca="false">G54-H54</f>
        <v>-9</v>
      </c>
      <c r="J54" s="2" t="n">
        <f aca="false">3*D54+E54</f>
        <v>0</v>
      </c>
    </row>
    <row r="55" customFormat="false" ht="15" hidden="false" customHeight="false" outlineLevel="0" collapsed="false">
      <c r="A55" s="2" t="s">
        <v>77</v>
      </c>
      <c r="B55" s="6" t="s">
        <v>81</v>
      </c>
      <c r="C55" s="2" t="n">
        <f aca="false">SUMPRODUCT(('All Matches'!$C$2:$C$73=$A55)*((('All Matches'!$E$2:$E$73=$B55)+('All Matches'!$H$2:$H$73=$B55))&gt;0))</f>
        <v>3</v>
      </c>
      <c r="D55" s="2" t="n">
        <f aca="false">SUMPRODUCT(('All Matches'!$C$2:$C$73=$A55)*((('All Matches'!$E$2:$E$73=$B55)*('All Matches'!$F$2:$F$73&gt;'All Matches'!$G$2:$G$73))+(('All Matches'!$H$2:$H$73=$B55)*('All Matches'!$G$2:$G$73&gt;'All Matches'!$F$2:$F$73))))</f>
        <v>2</v>
      </c>
      <c r="E55" s="2" t="n">
        <f aca="false">SUMPRODUCT(('All Matches'!$C$2:$C$73=$A55)*((('All Matches'!$E$2:$E$73=$B55)+('All Matches'!$H$2:$H$73=$B55))&gt;0)*('All Matches'!$F$2:$F$73='All Matches'!$G$2:$G$73))</f>
        <v>1</v>
      </c>
      <c r="F55" s="2" t="n">
        <f aca="false">SUMPRODUCT(('All Matches'!$C$2:$C$73=$A55)*((('All Matches'!$E$2:$E$73=$B55)*('All Matches'!$F$2:$F$73&lt;'All Matches'!$G$2:$G$73))+(('All Matches'!$H$2:$H$73=$B55)*('All Matches'!$G$2:$G$73&lt;'All Matches'!$F$2:$F$73))))</f>
        <v>0</v>
      </c>
      <c r="G55" s="2" t="n">
        <f aca="false">SUMIFS('All Matches'!$F$2:$F$73,'All Matches'!$C$2:$C$73,$A55,'All Matches'!$E$2:$E$73,$B55)+SUMIFS('All Matches'!$G$2:$G$73,'All Matches'!$C$2:$C$73,$A55,'All Matches'!$H$2:$H$73,$B55)</f>
        <v>4</v>
      </c>
      <c r="H55" s="2" t="n">
        <f aca="false">SUMIFS('All Matches'!$G$2:$G$73,'All Matches'!$C$2:$C$73,$A55,'All Matches'!$E$2:$E$73,$B55)+SUMIFS('All Matches'!$F$2:$F$73,'All Matches'!$C$2:$C$73,$A55,'All Matches'!$H$2:$H$73,$B55)</f>
        <v>1</v>
      </c>
      <c r="I55" s="2" t="n">
        <f aca="false">G55-H55</f>
        <v>3</v>
      </c>
      <c r="J55" s="2" t="n">
        <f aca="false">3*D55+E55</f>
        <v>7</v>
      </c>
    </row>
    <row r="57" customFormat="false" ht="15" hidden="false" customHeight="false" outlineLevel="0" collapsed="false">
      <c r="A57" s="2" t="s">
        <v>82</v>
      </c>
      <c r="B57" s="6" t="s">
        <v>83</v>
      </c>
      <c r="C57" s="2" t="n">
        <f aca="false">SUMPRODUCT(('All Matches'!$C$2:$C$73=$A57)*((('All Matches'!$E$2:$E$73=$B57)+('All Matches'!$H$2:$H$73=$B57))&gt;0))</f>
        <v>3</v>
      </c>
      <c r="D57" s="2" t="n">
        <f aca="false">SUMPRODUCT(('All Matches'!$C$2:$C$73=$A57)*((('All Matches'!$E$2:$E$73=$B57)*('All Matches'!$F$2:$F$73&gt;'All Matches'!$G$2:$G$73))+(('All Matches'!$H$2:$H$73=$B57)*('All Matches'!$G$2:$G$73&gt;'All Matches'!$F$2:$F$73))))</f>
        <v>2</v>
      </c>
      <c r="E57" s="2" t="n">
        <f aca="false">SUMPRODUCT(('All Matches'!$C$2:$C$73=$A57)*((('All Matches'!$E$2:$E$73=$B57)+('All Matches'!$H$2:$H$73=$B57))&gt;0)*('All Matches'!$F$2:$F$73='All Matches'!$G$2:$G$73))</f>
        <v>1</v>
      </c>
      <c r="F57" s="2" t="n">
        <f aca="false">SUMPRODUCT(('All Matches'!$C$2:$C$73=$A57)*((('All Matches'!$E$2:$E$73=$B57)*('All Matches'!$F$2:$F$73&lt;'All Matches'!$G$2:$G$73))+(('All Matches'!$H$2:$H$73=$B57)*('All Matches'!$G$2:$G$73&lt;'All Matches'!$F$2:$F$73))))</f>
        <v>0</v>
      </c>
      <c r="G57" s="2" t="n">
        <f aca="false">SUMIFS('All Matches'!$F$2:$F$73,'All Matches'!$C$2:$C$73,$A57,'All Matches'!$E$2:$E$73,$B57)+SUMIFS('All Matches'!$G$2:$G$73,'All Matches'!$C$2:$C$73,$A57,'All Matches'!$H$2:$H$73,$B57)</f>
        <v>6</v>
      </c>
      <c r="H57" s="2" t="n">
        <f aca="false">SUMIFS('All Matches'!$G$2:$G$73,'All Matches'!$C$2:$C$73,$A57,'All Matches'!$E$2:$E$73,$B57)+SUMIFS('All Matches'!$F$2:$F$73,'All Matches'!$C$2:$C$73,$A57,'All Matches'!$H$2:$H$73,$B57)</f>
        <v>2</v>
      </c>
      <c r="I57" s="2" t="n">
        <f aca="false">G57-H57</f>
        <v>4</v>
      </c>
      <c r="J57" s="2" t="n">
        <f aca="false">3*D57+E57</f>
        <v>7</v>
      </c>
    </row>
    <row r="58" customFormat="false" ht="15" hidden="false" customHeight="false" outlineLevel="0" collapsed="false">
      <c r="A58" s="2" t="s">
        <v>82</v>
      </c>
      <c r="B58" s="6" t="s">
        <v>84</v>
      </c>
      <c r="C58" s="2" t="n">
        <f aca="false">SUMPRODUCT(('All Matches'!$C$2:$C$73=$A58)*((('All Matches'!$E$2:$E$73=$B58)+('All Matches'!$H$2:$H$73=$B58))&gt;0))</f>
        <v>3</v>
      </c>
      <c r="D58" s="2" t="n">
        <f aca="false">SUMPRODUCT(('All Matches'!$C$2:$C$73=$A58)*((('All Matches'!$E$2:$E$73=$B58)*('All Matches'!$F$2:$F$73&gt;'All Matches'!$G$2:$G$73))+(('All Matches'!$H$2:$H$73=$B58)*('All Matches'!$G$2:$G$73&gt;'All Matches'!$F$2:$F$73))))</f>
        <v>2</v>
      </c>
      <c r="E58" s="2" t="n">
        <f aca="false">SUMPRODUCT(('All Matches'!$C$2:$C$73=$A58)*((('All Matches'!$E$2:$E$73=$B58)+('All Matches'!$H$2:$H$73=$B58))&gt;0)*('All Matches'!$F$2:$F$73='All Matches'!$G$2:$G$73))</f>
        <v>0</v>
      </c>
      <c r="F58" s="2" t="n">
        <f aca="false">SUMPRODUCT(('All Matches'!$C$2:$C$73=$A58)*((('All Matches'!$E$2:$E$73=$B58)*('All Matches'!$F$2:$F$73&lt;'All Matches'!$G$2:$G$73))+(('All Matches'!$H$2:$H$73=$B58)*('All Matches'!$G$2:$G$73&lt;'All Matches'!$F$2:$F$73))))</f>
        <v>1</v>
      </c>
      <c r="G58" s="2" t="n">
        <f aca="false">SUMIFS('All Matches'!$F$2:$F$73,'All Matches'!$C$2:$C$73,$A58,'All Matches'!$E$2:$E$73,$B58)+SUMIFS('All Matches'!$G$2:$G$73,'All Matches'!$C$2:$C$73,$A58,'All Matches'!$H$2:$H$73,$B58)</f>
        <v>5</v>
      </c>
      <c r="H58" s="2" t="n">
        <f aca="false">SUMIFS('All Matches'!$G$2:$G$73,'All Matches'!$C$2:$C$73,$A58,'All Matches'!$E$2:$E$73,$B58)+SUMIFS('All Matches'!$F$2:$F$73,'All Matches'!$C$2:$C$73,$A58,'All Matches'!$H$2:$H$73,$B58)</f>
        <v>5</v>
      </c>
      <c r="I58" s="2" t="n">
        <f aca="false">G58-H58</f>
        <v>0</v>
      </c>
      <c r="J58" s="2" t="n">
        <f aca="false">3*D58+E58</f>
        <v>6</v>
      </c>
    </row>
    <row r="59" customFormat="false" ht="15" hidden="false" customHeight="false" outlineLevel="0" collapsed="false">
      <c r="A59" s="2" t="s">
        <v>82</v>
      </c>
      <c r="B59" s="6" t="s">
        <v>85</v>
      </c>
      <c r="C59" s="2" t="n">
        <f aca="false">SUMPRODUCT(('All Matches'!$C$2:$C$73=$A59)*((('All Matches'!$E$2:$E$73=$B59)+('All Matches'!$H$2:$H$73=$B59))&gt;0))</f>
        <v>3</v>
      </c>
      <c r="D59" s="2" t="n">
        <f aca="false">SUMPRODUCT(('All Matches'!$C$2:$C$73=$A59)*((('All Matches'!$E$2:$E$73=$B59)*('All Matches'!$F$2:$F$73&gt;'All Matches'!$G$2:$G$73))+(('All Matches'!$H$2:$H$73=$B59)*('All Matches'!$G$2:$G$73&gt;'All Matches'!$F$2:$F$73))))</f>
        <v>1</v>
      </c>
      <c r="E59" s="2" t="n">
        <f aca="false">SUMPRODUCT(('All Matches'!$C$2:$C$73=$A59)*((('All Matches'!$E$2:$E$73=$B59)+('All Matches'!$H$2:$H$73=$B59))&gt;0)*('All Matches'!$F$2:$F$73='All Matches'!$G$2:$G$73))</f>
        <v>1</v>
      </c>
      <c r="F59" s="2" t="n">
        <f aca="false">SUMPRODUCT(('All Matches'!$C$2:$C$73=$A59)*((('All Matches'!$E$2:$E$73=$B59)*('All Matches'!$F$2:$F$73&lt;'All Matches'!$G$2:$G$73))+(('All Matches'!$H$2:$H$73=$B59)*('All Matches'!$G$2:$G$73&lt;'All Matches'!$F$2:$F$73))))</f>
        <v>1</v>
      </c>
      <c r="G59" s="2" t="n">
        <f aca="false">SUMIFS('All Matches'!$F$2:$F$73,'All Matches'!$C$2:$C$73,$A59,'All Matches'!$E$2:$E$73,$B59)+SUMIFS('All Matches'!$G$2:$G$73,'All Matches'!$C$2:$C$73,$A59,'All Matches'!$H$2:$H$73,$B59)</f>
        <v>2</v>
      </c>
      <c r="H59" s="2" t="n">
        <f aca="false">SUMIFS('All Matches'!$G$2:$G$73,'All Matches'!$C$2:$C$73,$A59,'All Matches'!$E$2:$E$73,$B59)+SUMIFS('All Matches'!$F$2:$F$73,'All Matches'!$C$2:$C$73,$A59,'All Matches'!$H$2:$H$73,$B59)</f>
        <v>2</v>
      </c>
      <c r="I59" s="2" t="n">
        <f aca="false">G59-H59</f>
        <v>0</v>
      </c>
      <c r="J59" s="2" t="n">
        <f aca="false">3*D59+E59</f>
        <v>4</v>
      </c>
    </row>
    <row r="60" customFormat="false" ht="15" hidden="false" customHeight="false" outlineLevel="0" collapsed="false">
      <c r="A60" s="2" t="s">
        <v>82</v>
      </c>
      <c r="B60" s="6" t="s">
        <v>86</v>
      </c>
      <c r="C60" s="2" t="n">
        <f aca="false">SUMPRODUCT(('All Matches'!$C$2:$C$73=$A60)*((('All Matches'!$E$2:$E$73=$B60)+('All Matches'!$H$2:$H$73=$B60))&gt;0))</f>
        <v>3</v>
      </c>
      <c r="D60" s="2" t="n">
        <f aca="false">SUMPRODUCT(('All Matches'!$C$2:$C$73=$A60)*((('All Matches'!$E$2:$E$73=$B60)*('All Matches'!$F$2:$F$73&gt;'All Matches'!$G$2:$G$73))+(('All Matches'!$H$2:$H$73=$B60)*('All Matches'!$G$2:$G$73&gt;'All Matches'!$F$2:$F$73))))</f>
        <v>0</v>
      </c>
      <c r="E60" s="2" t="n">
        <f aca="false">SUMPRODUCT(('All Matches'!$C$2:$C$73=$A60)*((('All Matches'!$E$2:$E$73=$B60)+('All Matches'!$H$2:$H$73=$B60))&gt;0)*('All Matches'!$F$2:$F$73='All Matches'!$G$2:$G$73))</f>
        <v>0</v>
      </c>
      <c r="F60" s="2" t="n">
        <f aca="false">SUMPRODUCT(('All Matches'!$C$2:$C$73=$A60)*((('All Matches'!$E$2:$E$73=$B60)*('All Matches'!$F$2:$F$73&lt;'All Matches'!$G$2:$G$73))+(('All Matches'!$H$2:$H$73=$B60)*('All Matches'!$G$2:$G$73&lt;'All Matches'!$F$2:$F$73))))</f>
        <v>3</v>
      </c>
      <c r="G60" s="2" t="n">
        <f aca="false">SUMIFS('All Matches'!$F$2:$F$73,'All Matches'!$C$2:$C$73,$A60,'All Matches'!$E$2:$E$73,$B60)+SUMIFS('All Matches'!$G$2:$G$73,'All Matches'!$C$2:$C$73,$A60,'All Matches'!$H$2:$H$73,$B60)</f>
        <v>0</v>
      </c>
      <c r="H60" s="2" t="n">
        <f aca="false">SUMIFS('All Matches'!$G$2:$G$73,'All Matches'!$C$2:$C$73,$A60,'All Matches'!$E$2:$E$73,$B60)+SUMIFS('All Matches'!$F$2:$F$73,'All Matches'!$C$2:$C$73,$A60,'All Matches'!$H$2:$H$73,$B60)</f>
        <v>4</v>
      </c>
      <c r="I60" s="2" t="n">
        <f aca="false">G60-H60</f>
        <v>-4</v>
      </c>
      <c r="J60" s="2" t="n">
        <f aca="false">3*D60+E60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12"/>
    <col collapsed="false" customWidth="true" hidden="false" outlineLevel="0" max="3" min="3" style="0" width="20"/>
    <col collapsed="false" customWidth="true" hidden="false" outlineLevel="0" max="4" min="4" style="0" width="10"/>
    <col collapsed="false" customWidth="true" hidden="false" outlineLevel="0" max="5" min="5" style="0" width="20"/>
    <col collapsed="false" customWidth="true" hidden="false" outlineLevel="0" max="6" min="6" style="0" width="45"/>
  </cols>
  <sheetData>
    <row r="1" customFormat="false" ht="15" hidden="false" customHeight="false" outlineLevel="0" collapsed="false">
      <c r="A1" s="1" t="s">
        <v>1</v>
      </c>
      <c r="B1" s="1" t="s">
        <v>3</v>
      </c>
      <c r="C1" s="1" t="s">
        <v>5</v>
      </c>
      <c r="D1" s="1" t="s">
        <v>125</v>
      </c>
      <c r="E1" s="1" t="s">
        <v>6</v>
      </c>
      <c r="F1" s="1" t="s">
        <v>8</v>
      </c>
    </row>
    <row r="2" customFormat="false" ht="15" hidden="false" customHeight="false" outlineLevel="0" collapsed="false">
      <c r="A2" s="2" t="s">
        <v>87</v>
      </c>
      <c r="B2" s="2" t="s">
        <v>88</v>
      </c>
      <c r="C2" s="3" t="s">
        <v>20</v>
      </c>
      <c r="D2" s="2" t="s">
        <v>126</v>
      </c>
      <c r="E2" s="3" t="s">
        <v>13</v>
      </c>
      <c r="F2" s="3"/>
    </row>
    <row r="3" customFormat="false" ht="15" hidden="false" customHeight="false" outlineLevel="0" collapsed="false">
      <c r="A3" s="2" t="s">
        <v>87</v>
      </c>
      <c r="B3" s="2" t="s">
        <v>89</v>
      </c>
      <c r="C3" s="3" t="s">
        <v>27</v>
      </c>
      <c r="D3" s="2" t="s">
        <v>127</v>
      </c>
      <c r="E3" s="3" t="s">
        <v>46</v>
      </c>
      <c r="F3" s="3"/>
    </row>
    <row r="4" customFormat="false" ht="15" hidden="false" customHeight="false" outlineLevel="0" collapsed="false">
      <c r="A4" s="2" t="s">
        <v>87</v>
      </c>
      <c r="B4" s="2" t="s">
        <v>89</v>
      </c>
      <c r="C4" s="3" t="s">
        <v>35</v>
      </c>
      <c r="D4" s="2" t="s">
        <v>128</v>
      </c>
      <c r="E4" s="3" t="s">
        <v>40</v>
      </c>
      <c r="F4" s="3" t="s">
        <v>90</v>
      </c>
    </row>
    <row r="5" customFormat="false" ht="15" hidden="false" customHeight="false" outlineLevel="0" collapsed="false">
      <c r="A5" s="2" t="s">
        <v>87</v>
      </c>
      <c r="B5" s="2" t="s">
        <v>91</v>
      </c>
      <c r="C5" s="3" t="s">
        <v>28</v>
      </c>
      <c r="D5" s="2" t="s">
        <v>128</v>
      </c>
      <c r="E5" s="3" t="s">
        <v>45</v>
      </c>
      <c r="F5" s="3" t="s">
        <v>92</v>
      </c>
    </row>
    <row r="6" customFormat="false" ht="15" hidden="false" customHeight="false" outlineLevel="0" collapsed="false">
      <c r="A6" s="2" t="s">
        <v>87</v>
      </c>
      <c r="B6" s="2" t="s">
        <v>91</v>
      </c>
      <c r="C6" s="3" t="s">
        <v>69</v>
      </c>
      <c r="D6" s="2" t="s">
        <v>127</v>
      </c>
      <c r="E6" s="3" t="s">
        <v>42</v>
      </c>
      <c r="F6" s="3"/>
    </row>
    <row r="7" customFormat="false" ht="15" hidden="false" customHeight="false" outlineLevel="0" collapsed="false">
      <c r="A7" s="2" t="s">
        <v>87</v>
      </c>
      <c r="B7" s="2" t="s">
        <v>93</v>
      </c>
      <c r="C7" s="3" t="s">
        <v>65</v>
      </c>
      <c r="D7" s="2" t="s">
        <v>129</v>
      </c>
      <c r="E7" s="3" t="s">
        <v>48</v>
      </c>
      <c r="F7" s="3"/>
    </row>
    <row r="8" customFormat="false" ht="15" hidden="false" customHeight="false" outlineLevel="0" collapsed="false">
      <c r="A8" s="2" t="s">
        <v>87</v>
      </c>
      <c r="B8" s="2" t="s">
        <v>93</v>
      </c>
      <c r="C8" s="3" t="s">
        <v>12</v>
      </c>
      <c r="D8" s="2" t="s">
        <v>130</v>
      </c>
      <c r="E8" s="3" t="s">
        <v>43</v>
      </c>
      <c r="F8" s="3"/>
    </row>
    <row r="9" customFormat="false" ht="15" hidden="false" customHeight="false" outlineLevel="0" collapsed="false">
      <c r="A9" s="2" t="s">
        <v>87</v>
      </c>
      <c r="B9" s="2" t="s">
        <v>93</v>
      </c>
      <c r="C9" s="3" t="s">
        <v>83</v>
      </c>
      <c r="D9" s="2" t="s">
        <v>127</v>
      </c>
      <c r="E9" s="3" t="s">
        <v>79</v>
      </c>
      <c r="F9" s="3"/>
    </row>
    <row r="10" customFormat="false" ht="15" hidden="false" customHeight="false" outlineLevel="0" collapsed="false">
      <c r="A10" s="2" t="s">
        <v>87</v>
      </c>
      <c r="B10" s="2" t="s">
        <v>94</v>
      </c>
      <c r="C10" s="3" t="s">
        <v>52</v>
      </c>
      <c r="D10" s="2" t="s">
        <v>131</v>
      </c>
      <c r="E10" s="3" t="s">
        <v>66</v>
      </c>
      <c r="F10" s="3" t="s">
        <v>95</v>
      </c>
    </row>
    <row r="11" customFormat="false" ht="15" hidden="false" customHeight="false" outlineLevel="0" collapsed="false">
      <c r="A11" s="2" t="s">
        <v>87</v>
      </c>
      <c r="B11" s="2" t="s">
        <v>94</v>
      </c>
      <c r="C11" s="3" t="s">
        <v>34</v>
      </c>
      <c r="D11" s="2" t="s">
        <v>130</v>
      </c>
      <c r="E11" s="3" t="s">
        <v>21</v>
      </c>
      <c r="F11" s="3"/>
    </row>
    <row r="12" customFormat="false" ht="15" hidden="false" customHeight="false" outlineLevel="0" collapsed="false">
      <c r="A12" s="2" t="s">
        <v>87</v>
      </c>
      <c r="B12" s="2" t="s">
        <v>94</v>
      </c>
      <c r="C12" s="3" t="s">
        <v>59</v>
      </c>
      <c r="D12" s="2" t="s">
        <v>129</v>
      </c>
      <c r="E12" s="3" t="s">
        <v>74</v>
      </c>
      <c r="F12" s="3"/>
    </row>
    <row r="13" customFormat="false" ht="15" hidden="false" customHeight="false" outlineLevel="0" collapsed="false">
      <c r="A13" s="2" t="s">
        <v>87</v>
      </c>
      <c r="B13" s="2" t="s">
        <v>94</v>
      </c>
      <c r="C13" s="3" t="s">
        <v>78</v>
      </c>
      <c r="D13" s="2" t="s">
        <v>127</v>
      </c>
      <c r="E13" s="3" t="s">
        <v>84</v>
      </c>
      <c r="F13" s="3"/>
    </row>
    <row r="14" customFormat="false" ht="15" hidden="false" customHeight="false" outlineLevel="0" collapsed="false">
      <c r="A14" s="2" t="s">
        <v>87</v>
      </c>
      <c r="B14" s="2" t="s">
        <v>96</v>
      </c>
      <c r="C14" s="3" t="s">
        <v>24</v>
      </c>
      <c r="D14" s="2" t="s">
        <v>130</v>
      </c>
      <c r="E14" s="3" t="s">
        <v>73</v>
      </c>
      <c r="F14" s="3"/>
    </row>
    <row r="15" customFormat="false" ht="15" hidden="false" customHeight="false" outlineLevel="0" collapsed="false">
      <c r="A15" s="2" t="s">
        <v>87</v>
      </c>
      <c r="B15" s="2" t="s">
        <v>96</v>
      </c>
      <c r="C15" s="3" t="s">
        <v>53</v>
      </c>
      <c r="D15" s="2" t="s">
        <v>128</v>
      </c>
      <c r="E15" s="3" t="s">
        <v>36</v>
      </c>
      <c r="F15" s="3" t="s">
        <v>97</v>
      </c>
    </row>
    <row r="16" customFormat="false" ht="15" hidden="false" customHeight="false" outlineLevel="0" collapsed="false">
      <c r="A16" s="2" t="s">
        <v>87</v>
      </c>
      <c r="B16" s="2" t="s">
        <v>96</v>
      </c>
      <c r="C16" s="3" t="s">
        <v>72</v>
      </c>
      <c r="D16" s="2" t="s">
        <v>131</v>
      </c>
      <c r="E16" s="3" t="s">
        <v>60</v>
      </c>
      <c r="F16" s="3" t="s">
        <v>98</v>
      </c>
    </row>
    <row r="17" customFormat="false" ht="15" hidden="false" customHeight="false" outlineLevel="0" collapsed="false">
      <c r="A17" s="2" t="s">
        <v>87</v>
      </c>
      <c r="B17" s="2" t="s">
        <v>96</v>
      </c>
      <c r="C17" s="3" t="s">
        <v>81</v>
      </c>
      <c r="D17" s="2" t="s">
        <v>126</v>
      </c>
      <c r="E17" s="3" t="s">
        <v>85</v>
      </c>
      <c r="F17" s="3"/>
    </row>
    <row r="18" customFormat="false" ht="15" hidden="false" customHeight="false" outlineLevel="0" collapsed="false">
      <c r="A18" s="2" t="s">
        <v>99</v>
      </c>
      <c r="B18" s="2" t="s">
        <v>100</v>
      </c>
      <c r="C18" s="3" t="s">
        <v>28</v>
      </c>
      <c r="D18" s="2" t="s">
        <v>129</v>
      </c>
      <c r="E18" s="3" t="s">
        <v>20</v>
      </c>
      <c r="F18" s="3"/>
    </row>
    <row r="19" customFormat="false" ht="15" hidden="false" customHeight="false" outlineLevel="0" collapsed="false">
      <c r="A19" s="2" t="s">
        <v>99</v>
      </c>
      <c r="B19" s="2" t="s">
        <v>100</v>
      </c>
      <c r="C19" s="3" t="s">
        <v>65</v>
      </c>
      <c r="D19" s="2" t="s">
        <v>126</v>
      </c>
      <c r="E19" s="3" t="s">
        <v>35</v>
      </c>
      <c r="F19" s="3"/>
    </row>
    <row r="20" customFormat="false" ht="15" hidden="false" customHeight="false" outlineLevel="0" collapsed="false">
      <c r="A20" s="2" t="s">
        <v>99</v>
      </c>
      <c r="B20" s="2" t="s">
        <v>101</v>
      </c>
      <c r="C20" s="3" t="s">
        <v>69</v>
      </c>
      <c r="D20" s="2" t="s">
        <v>127</v>
      </c>
      <c r="E20" s="3" t="s">
        <v>27</v>
      </c>
      <c r="F20" s="3"/>
    </row>
    <row r="21" customFormat="false" ht="15" hidden="false" customHeight="false" outlineLevel="0" collapsed="false">
      <c r="A21" s="2" t="s">
        <v>99</v>
      </c>
      <c r="B21" s="2" t="s">
        <v>101</v>
      </c>
      <c r="C21" s="3" t="s">
        <v>83</v>
      </c>
      <c r="D21" s="2" t="s">
        <v>131</v>
      </c>
      <c r="E21" s="3" t="s">
        <v>12</v>
      </c>
      <c r="F21" s="3"/>
    </row>
    <row r="22" customFormat="false" ht="15" hidden="false" customHeight="false" outlineLevel="0" collapsed="false">
      <c r="A22" s="2" t="s">
        <v>99</v>
      </c>
      <c r="B22" s="2" t="s">
        <v>102</v>
      </c>
      <c r="C22" s="3" t="s">
        <v>59</v>
      </c>
      <c r="D22" s="2" t="s">
        <v>126</v>
      </c>
      <c r="E22" s="3" t="s">
        <v>78</v>
      </c>
      <c r="F22" s="3"/>
    </row>
    <row r="23" customFormat="false" ht="15" hidden="false" customHeight="false" outlineLevel="0" collapsed="false">
      <c r="A23" s="2" t="s">
        <v>99</v>
      </c>
      <c r="B23" s="2" t="s">
        <v>102</v>
      </c>
      <c r="C23" s="3" t="s">
        <v>52</v>
      </c>
      <c r="D23" s="2" t="s">
        <v>132</v>
      </c>
      <c r="E23" s="3" t="s">
        <v>34</v>
      </c>
      <c r="F23" s="3"/>
    </row>
    <row r="24" customFormat="false" ht="15" hidden="false" customHeight="false" outlineLevel="0" collapsed="false">
      <c r="A24" s="2" t="s">
        <v>99</v>
      </c>
      <c r="B24" s="2" t="s">
        <v>103</v>
      </c>
      <c r="C24" s="3" t="s">
        <v>72</v>
      </c>
      <c r="D24" s="2" t="s">
        <v>131</v>
      </c>
      <c r="E24" s="3" t="s">
        <v>53</v>
      </c>
      <c r="F24" s="3"/>
    </row>
    <row r="25" customFormat="false" ht="15" hidden="false" customHeight="false" outlineLevel="0" collapsed="false">
      <c r="A25" s="2" t="s">
        <v>99</v>
      </c>
      <c r="B25" s="2" t="s">
        <v>103</v>
      </c>
      <c r="C25" s="3" t="s">
        <v>24</v>
      </c>
      <c r="D25" s="2" t="s">
        <v>133</v>
      </c>
      <c r="E25" s="3" t="s">
        <v>81</v>
      </c>
      <c r="F25" s="3" t="s">
        <v>104</v>
      </c>
    </row>
    <row r="26" customFormat="false" ht="15" hidden="false" customHeight="false" outlineLevel="0" collapsed="false">
      <c r="A26" s="2" t="s">
        <v>105</v>
      </c>
      <c r="B26" s="2" t="s">
        <v>106</v>
      </c>
      <c r="C26" s="3" t="s">
        <v>65</v>
      </c>
      <c r="D26" s="2" t="s">
        <v>130</v>
      </c>
      <c r="E26" s="3" t="s">
        <v>28</v>
      </c>
      <c r="F26" s="3"/>
    </row>
    <row r="27" customFormat="false" ht="15" hidden="false" customHeight="false" outlineLevel="0" collapsed="false">
      <c r="A27" s="2" t="s">
        <v>105</v>
      </c>
      <c r="B27" s="2" t="s">
        <v>107</v>
      </c>
      <c r="C27" s="3" t="s">
        <v>59</v>
      </c>
      <c r="D27" s="2" t="s">
        <v>127</v>
      </c>
      <c r="E27" s="3" t="s">
        <v>52</v>
      </c>
      <c r="F27" s="3"/>
    </row>
    <row r="28" customFormat="false" ht="15" hidden="false" customHeight="false" outlineLevel="0" collapsed="false">
      <c r="A28" s="2" t="s">
        <v>105</v>
      </c>
      <c r="B28" s="2" t="s">
        <v>107</v>
      </c>
      <c r="C28" s="3" t="s">
        <v>83</v>
      </c>
      <c r="D28" s="2" t="s">
        <v>127</v>
      </c>
      <c r="E28" s="3" t="s">
        <v>69</v>
      </c>
      <c r="F28" s="3" t="s">
        <v>108</v>
      </c>
    </row>
    <row r="29" customFormat="false" ht="15" hidden="false" customHeight="false" outlineLevel="0" collapsed="false">
      <c r="A29" s="2" t="s">
        <v>105</v>
      </c>
      <c r="B29" s="2" t="s">
        <v>109</v>
      </c>
      <c r="C29" s="3" t="s">
        <v>72</v>
      </c>
      <c r="D29" s="2" t="s">
        <v>134</v>
      </c>
      <c r="E29" s="3" t="s">
        <v>24</v>
      </c>
      <c r="F29" s="3" t="s">
        <v>98</v>
      </c>
    </row>
    <row r="30" customFormat="false" ht="15" hidden="false" customHeight="false" outlineLevel="0" collapsed="false">
      <c r="A30" s="2" t="s">
        <v>110</v>
      </c>
      <c r="B30" s="2" t="s">
        <v>111</v>
      </c>
      <c r="C30" s="3" t="s">
        <v>59</v>
      </c>
      <c r="D30" s="2" t="s">
        <v>130</v>
      </c>
      <c r="E30" s="3" t="s">
        <v>65</v>
      </c>
      <c r="F30" s="3"/>
    </row>
    <row r="31" customFormat="false" ht="15" hidden="false" customHeight="false" outlineLevel="0" collapsed="false">
      <c r="A31" s="2" t="s">
        <v>110</v>
      </c>
      <c r="B31" s="2" t="s">
        <v>112</v>
      </c>
      <c r="C31" s="3" t="s">
        <v>72</v>
      </c>
      <c r="D31" s="2" t="s">
        <v>127</v>
      </c>
      <c r="E31" s="3" t="s">
        <v>83</v>
      </c>
      <c r="F31" s="3"/>
    </row>
    <row r="32" customFormat="false" ht="15" hidden="false" customHeight="false" outlineLevel="0" collapsed="false">
      <c r="A32" s="2" t="s">
        <v>113</v>
      </c>
      <c r="B32" s="2" t="s">
        <v>114</v>
      </c>
      <c r="C32" s="3" t="s">
        <v>83</v>
      </c>
      <c r="D32" s="2" t="s">
        <v>135</v>
      </c>
      <c r="E32" s="3" t="s">
        <v>65</v>
      </c>
      <c r="F32" s="3"/>
    </row>
    <row r="33" customFormat="false" ht="15" hidden="false" customHeight="false" outlineLevel="0" collapsed="false">
      <c r="A33" s="2" t="s">
        <v>115</v>
      </c>
      <c r="B33" s="2" t="s">
        <v>116</v>
      </c>
      <c r="C33" s="3" t="s">
        <v>59</v>
      </c>
      <c r="D33" s="2" t="s">
        <v>126</v>
      </c>
      <c r="E33" s="3" t="s">
        <v>72</v>
      </c>
      <c r="F33" s="3" t="s">
        <v>117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0"/>
  </cols>
  <sheetData>
    <row r="1" customFormat="false" ht="17.35" hidden="false" customHeight="false" outlineLevel="0" collapsed="false">
      <c r="A1" s="7" t="s">
        <v>136</v>
      </c>
    </row>
    <row r="2" customFormat="false" ht="15.75" hidden="false" customHeight="true" outlineLevel="0" collapsed="false">
      <c r="A2" s="8"/>
    </row>
    <row r="3" customFormat="false" ht="30" hidden="false" customHeight="true" outlineLevel="0" collapsed="false">
      <c r="A3" s="8" t="s">
        <v>137</v>
      </c>
    </row>
    <row r="4" customFormat="false" ht="15.75" hidden="false" customHeight="true" outlineLevel="0" collapsed="false">
      <c r="A4" s="8"/>
    </row>
    <row r="5" customFormat="false" ht="15.75" hidden="false" customHeight="true" outlineLevel="0" collapsed="false">
      <c r="A5" s="9" t="s">
        <v>138</v>
      </c>
    </row>
    <row r="6" customFormat="false" ht="30" hidden="false" customHeight="true" outlineLevel="0" collapsed="false">
      <c r="A6" s="8" t="s">
        <v>139</v>
      </c>
    </row>
    <row r="7" customFormat="false" ht="30" hidden="false" customHeight="true" outlineLevel="0" collapsed="false">
      <c r="A7" s="8" t="s">
        <v>140</v>
      </c>
    </row>
    <row r="8" customFormat="false" ht="15.75" hidden="false" customHeight="true" outlineLevel="0" collapsed="false">
      <c r="A8" s="8"/>
    </row>
    <row r="9" customFormat="false" ht="15.75" hidden="false" customHeight="true" outlineLevel="0" collapsed="false">
      <c r="A9" s="9" t="s">
        <v>141</v>
      </c>
    </row>
    <row r="10" customFormat="false" ht="30" hidden="false" customHeight="true" outlineLevel="0" collapsed="false">
      <c r="A10" s="8" t="s">
        <v>142</v>
      </c>
    </row>
    <row r="11" customFormat="false" ht="30" hidden="false" customHeight="true" outlineLevel="0" collapsed="false">
      <c r="A11" s="8" t="s">
        <v>143</v>
      </c>
    </row>
    <row r="12" customFormat="false" ht="30" hidden="false" customHeight="true" outlineLevel="0" collapsed="false">
      <c r="A12" s="8" t="s">
        <v>144</v>
      </c>
    </row>
    <row r="13" customFormat="false" ht="15.75" hidden="false" customHeight="true" outlineLevel="0" collapsed="false">
      <c r="A13" s="8"/>
    </row>
    <row r="14" customFormat="false" ht="15.75" hidden="false" customHeight="true" outlineLevel="0" collapsed="false">
      <c r="A14" s="9" t="s">
        <v>145</v>
      </c>
    </row>
    <row r="15" customFormat="false" ht="15.75" hidden="false" customHeight="true" outlineLevel="0" collapsed="false">
      <c r="A15" s="8" t="s">
        <v>146</v>
      </c>
    </row>
    <row r="16" customFormat="false" ht="30" hidden="false" customHeight="true" outlineLevel="0" collapsed="false">
      <c r="A16" s="8" t="s">
        <v>147</v>
      </c>
    </row>
    <row r="17" customFormat="false" ht="30" hidden="false" customHeight="true" outlineLevel="0" collapsed="false">
      <c r="A17" s="8" t="s">
        <v>148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E10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4" ySplit="1" topLeftCell="E2" activePane="bottomRight" state="frozen"/>
      <selection pane="topLeft" activeCell="A1" activeCellId="0" sqref="A1"/>
      <selection pane="topRight" activeCell="E1" activeCellId="0" sqref="E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13"/>
    <col collapsed="false" customWidth="true" hidden="false" outlineLevel="0" max="3" min="3" style="0" width="6"/>
    <col collapsed="false" customWidth="true" hidden="false" outlineLevel="0" max="4" min="4" style="0" width="11"/>
    <col collapsed="false" customWidth="true" hidden="false" outlineLevel="0" max="6" min="5" style="0" width="18"/>
    <col collapsed="false" customWidth="true" hidden="false" outlineLevel="0" max="8" min="7" style="0" width="8"/>
    <col collapsed="false" customWidth="true" hidden="false" outlineLevel="0" max="9" min="9" style="0" width="11"/>
    <col collapsed="false" customWidth="true" hidden="false" outlineLevel="0" max="10" min="10" style="0" width="10"/>
    <col collapsed="false" customWidth="true" hidden="false" outlineLevel="0" max="11" min="11" style="0" width="13"/>
    <col collapsed="false" customWidth="true" hidden="false" outlineLevel="0" max="14" min="12" style="0" width="10"/>
    <col collapsed="false" customWidth="true" hidden="false" outlineLevel="0" max="15" min="15" style="0" width="9"/>
    <col collapsed="false" customWidth="true" hidden="false" outlineLevel="0" max="16" min="16" style="0" width="10"/>
    <col collapsed="false" customWidth="true" hidden="false" outlineLevel="0" max="19" min="17" style="0" width="9"/>
    <col collapsed="false" customWidth="true" hidden="false" outlineLevel="0" max="21" min="20" style="0" width="12"/>
    <col collapsed="false" customWidth="true" hidden="false" outlineLevel="0" max="27" min="22" style="0" width="9"/>
    <col collapsed="false" customWidth="true" hidden="false" outlineLevel="0" max="29" min="28" style="0" width="11"/>
    <col collapsed="false" customWidth="true" hidden="false" outlineLevel="0" max="31" min="30" style="0" width="9"/>
  </cols>
  <sheetData>
    <row r="1" customFormat="false" ht="45" hidden="false" customHeight="true" outlineLevel="0" collapsed="false">
      <c r="A1" s="10" t="s">
        <v>0</v>
      </c>
      <c r="B1" s="10" t="s">
        <v>1</v>
      </c>
      <c r="C1" s="10" t="s">
        <v>2</v>
      </c>
      <c r="D1" s="10" t="s">
        <v>3</v>
      </c>
      <c r="E1" s="10" t="s">
        <v>5</v>
      </c>
      <c r="F1" s="10" t="s">
        <v>6</v>
      </c>
      <c r="G1" s="10" t="s">
        <v>149</v>
      </c>
      <c r="H1" s="10" t="s">
        <v>150</v>
      </c>
      <c r="I1" s="10" t="s">
        <v>151</v>
      </c>
      <c r="J1" s="10" t="s">
        <v>152</v>
      </c>
      <c r="K1" s="10" t="s">
        <v>153</v>
      </c>
      <c r="L1" s="10" t="s">
        <v>154</v>
      </c>
      <c r="M1" s="10" t="s">
        <v>155</v>
      </c>
      <c r="N1" s="10" t="s">
        <v>156</v>
      </c>
      <c r="O1" s="10" t="s">
        <v>157</v>
      </c>
      <c r="P1" s="10" t="s">
        <v>158</v>
      </c>
      <c r="Q1" s="10" t="s">
        <v>159</v>
      </c>
      <c r="R1" s="10" t="s">
        <v>160</v>
      </c>
      <c r="S1" s="10" t="s">
        <v>161</v>
      </c>
      <c r="T1" s="10" t="s">
        <v>162</v>
      </c>
      <c r="U1" s="10" t="s">
        <v>163</v>
      </c>
      <c r="V1" s="10" t="s">
        <v>164</v>
      </c>
      <c r="W1" s="10" t="s">
        <v>165</v>
      </c>
      <c r="X1" s="10" t="s">
        <v>166</v>
      </c>
      <c r="Y1" s="10" t="s">
        <v>167</v>
      </c>
      <c r="Z1" s="10" t="s">
        <v>168</v>
      </c>
      <c r="AA1" s="10" t="s">
        <v>169</v>
      </c>
      <c r="AB1" s="10" t="s">
        <v>170</v>
      </c>
      <c r="AC1" s="10" t="s">
        <v>171</v>
      </c>
      <c r="AD1" s="10" t="s">
        <v>172</v>
      </c>
      <c r="AE1" s="10" t="s">
        <v>173</v>
      </c>
    </row>
    <row r="2" customFormat="false" ht="15" hidden="false" customHeight="false" outlineLevel="0" collapsed="false">
      <c r="A2" s="2" t="n">
        <v>1</v>
      </c>
      <c r="B2" s="2" t="s">
        <v>9</v>
      </c>
      <c r="C2" s="2" t="s">
        <v>10</v>
      </c>
      <c r="D2" s="2" t="s">
        <v>11</v>
      </c>
      <c r="E2" s="11" t="s">
        <v>12</v>
      </c>
      <c r="F2" s="11" t="s">
        <v>13</v>
      </c>
      <c r="G2" s="2" t="n">
        <v>2</v>
      </c>
      <c r="H2" s="2" t="n">
        <v>0</v>
      </c>
      <c r="I2" s="12" t="n">
        <v>2</v>
      </c>
      <c r="J2" s="13" t="n">
        <v>46</v>
      </c>
      <c r="K2" s="13" t="n">
        <v>142.6</v>
      </c>
      <c r="L2" s="13" t="n">
        <v>1.15</v>
      </c>
      <c r="M2" s="13" t="n">
        <v>2</v>
      </c>
      <c r="N2" s="13" t="n">
        <v>-6</v>
      </c>
      <c r="O2" s="13" t="n">
        <v>1</v>
      </c>
      <c r="P2" s="13" t="n">
        <v>-1</v>
      </c>
      <c r="Q2" s="13" t="n">
        <v>0</v>
      </c>
      <c r="R2" s="14" t="n">
        <v>14</v>
      </c>
      <c r="S2" s="14" t="n">
        <v>60</v>
      </c>
      <c r="T2" s="14" t="n">
        <v>191.85</v>
      </c>
      <c r="U2" s="14" t="n">
        <v>49.25</v>
      </c>
      <c r="V2" s="14" t="n">
        <v>27.5</v>
      </c>
      <c r="W2" s="14" t="n">
        <v>26.35</v>
      </c>
      <c r="X2" s="14" t="n">
        <v>4</v>
      </c>
      <c r="Y2" s="14" t="n">
        <v>2</v>
      </c>
      <c r="Z2" s="14" t="n">
        <v>0</v>
      </c>
      <c r="AA2" s="14" t="n">
        <v>6</v>
      </c>
      <c r="AB2" s="14" t="s">
        <v>174</v>
      </c>
      <c r="AC2" s="14" t="s">
        <v>175</v>
      </c>
      <c r="AD2" s="14" t="n">
        <v>14</v>
      </c>
      <c r="AE2" s="14" t="n">
        <v>14</v>
      </c>
    </row>
    <row r="3" customFormat="false" ht="15" hidden="false" customHeight="false" outlineLevel="0" collapsed="false">
      <c r="A3" s="2" t="n">
        <v>2</v>
      </c>
      <c r="B3" s="2" t="s">
        <v>9</v>
      </c>
      <c r="C3" s="2" t="s">
        <v>10</v>
      </c>
      <c r="D3" s="2" t="s">
        <v>14</v>
      </c>
      <c r="E3" s="11" t="s">
        <v>15</v>
      </c>
      <c r="F3" s="11" t="s">
        <v>16</v>
      </c>
      <c r="G3" s="2" t="n">
        <v>2</v>
      </c>
      <c r="H3" s="2" t="n">
        <v>1</v>
      </c>
      <c r="I3" s="12" t="n">
        <v>1</v>
      </c>
      <c r="J3" s="13" t="n">
        <v>15</v>
      </c>
      <c r="K3" s="13" t="n">
        <v>-49.13</v>
      </c>
      <c r="L3" s="13" t="n">
        <v>0.23</v>
      </c>
      <c r="M3" s="13" t="n">
        <v>-2</v>
      </c>
      <c r="N3" s="13" t="n">
        <v>3</v>
      </c>
      <c r="O3" s="13" t="n">
        <v>0</v>
      </c>
      <c r="P3" s="13" t="n">
        <v>-4</v>
      </c>
      <c r="Q3" s="13" t="n">
        <v>0</v>
      </c>
      <c r="R3" s="14" t="n">
        <v>25</v>
      </c>
      <c r="S3" s="14" t="n">
        <v>40</v>
      </c>
      <c r="T3" s="14" t="n">
        <v>139.05</v>
      </c>
      <c r="U3" s="14" t="n">
        <v>188.18</v>
      </c>
      <c r="V3" s="14" t="n">
        <v>27.46</v>
      </c>
      <c r="W3" s="14" t="n">
        <v>27.23</v>
      </c>
      <c r="X3" s="14" t="n">
        <v>5</v>
      </c>
      <c r="Y3" s="14" t="n">
        <v>7</v>
      </c>
      <c r="Z3" s="14" t="n">
        <v>13</v>
      </c>
      <c r="AA3" s="14" t="n">
        <v>10</v>
      </c>
      <c r="AB3" s="14" t="s">
        <v>176</v>
      </c>
      <c r="AC3" s="14" t="s">
        <v>177</v>
      </c>
      <c r="AD3" s="14" t="n">
        <v>14</v>
      </c>
      <c r="AE3" s="14" t="n">
        <v>14</v>
      </c>
    </row>
    <row r="4" customFormat="false" ht="15" hidden="false" customHeight="false" outlineLevel="0" collapsed="false">
      <c r="A4" s="2" t="n">
        <v>3</v>
      </c>
      <c r="B4" s="2" t="s">
        <v>9</v>
      </c>
      <c r="C4" s="2" t="s">
        <v>10</v>
      </c>
      <c r="D4" s="2" t="s">
        <v>17</v>
      </c>
      <c r="E4" s="11" t="s">
        <v>16</v>
      </c>
      <c r="F4" s="11" t="s">
        <v>13</v>
      </c>
      <c r="G4" s="2" t="n">
        <v>1</v>
      </c>
      <c r="H4" s="2" t="n">
        <v>1</v>
      </c>
      <c r="I4" s="12" t="n">
        <v>0</v>
      </c>
      <c r="J4" s="13" t="n">
        <v>20</v>
      </c>
      <c r="K4" s="13" t="n">
        <v>138.93</v>
      </c>
      <c r="L4" s="13" t="n">
        <v>0.88</v>
      </c>
      <c r="M4" s="13" t="n">
        <v>5</v>
      </c>
      <c r="N4" s="13" t="n">
        <v>4</v>
      </c>
      <c r="O4" s="13" t="n">
        <v>0</v>
      </c>
      <c r="P4" s="13" t="n">
        <v>2</v>
      </c>
      <c r="Q4" s="13" t="n">
        <v>-1</v>
      </c>
      <c r="R4" s="14" t="n">
        <v>40</v>
      </c>
      <c r="S4" s="14" t="n">
        <v>60</v>
      </c>
      <c r="T4" s="14" t="n">
        <v>188.18</v>
      </c>
      <c r="U4" s="14" t="n">
        <v>49.25</v>
      </c>
      <c r="V4" s="14" t="n">
        <v>27.23</v>
      </c>
      <c r="W4" s="14" t="n">
        <v>26.35</v>
      </c>
      <c r="X4" s="14" t="n">
        <v>7</v>
      </c>
      <c r="Y4" s="14" t="n">
        <v>2</v>
      </c>
      <c r="Z4" s="14" t="n">
        <v>10</v>
      </c>
      <c r="AA4" s="14" t="n">
        <v>6</v>
      </c>
      <c r="AB4" s="14" t="s">
        <v>177</v>
      </c>
      <c r="AC4" s="14" t="s">
        <v>175</v>
      </c>
      <c r="AD4" s="14" t="n">
        <v>6</v>
      </c>
      <c r="AE4" s="14" t="n">
        <v>7</v>
      </c>
    </row>
    <row r="5" customFormat="false" ht="15" hidden="false" customHeight="false" outlineLevel="0" collapsed="false">
      <c r="A5" s="2" t="n">
        <v>4</v>
      </c>
      <c r="B5" s="2" t="s">
        <v>9</v>
      </c>
      <c r="C5" s="2" t="s">
        <v>10</v>
      </c>
      <c r="D5" s="2" t="s">
        <v>17</v>
      </c>
      <c r="E5" s="11" t="s">
        <v>12</v>
      </c>
      <c r="F5" s="11" t="s">
        <v>15</v>
      </c>
      <c r="G5" s="2" t="n">
        <v>1</v>
      </c>
      <c r="H5" s="2" t="n">
        <v>0</v>
      </c>
      <c r="I5" s="12" t="n">
        <v>1</v>
      </c>
      <c r="J5" s="13" t="n">
        <v>11</v>
      </c>
      <c r="K5" s="13" t="n">
        <v>52.8</v>
      </c>
      <c r="L5" s="13" t="n">
        <v>0.04</v>
      </c>
      <c r="M5" s="13" t="n">
        <v>-1</v>
      </c>
      <c r="N5" s="13" t="n">
        <v>-13</v>
      </c>
      <c r="O5" s="13" t="n">
        <v>1</v>
      </c>
      <c r="P5" s="13" t="n">
        <v>1</v>
      </c>
      <c r="Q5" s="13" t="n">
        <v>1</v>
      </c>
      <c r="R5" s="14" t="n">
        <v>14</v>
      </c>
      <c r="S5" s="14" t="n">
        <v>25</v>
      </c>
      <c r="T5" s="14" t="n">
        <v>191.85</v>
      </c>
      <c r="U5" s="14" t="n">
        <v>139.05</v>
      </c>
      <c r="V5" s="14" t="n">
        <v>27.5</v>
      </c>
      <c r="W5" s="14" t="n">
        <v>27.46</v>
      </c>
      <c r="X5" s="14" t="n">
        <v>4</v>
      </c>
      <c r="Y5" s="14" t="n">
        <v>5</v>
      </c>
      <c r="Z5" s="14" t="n">
        <v>0</v>
      </c>
      <c r="AA5" s="14" t="n">
        <v>13</v>
      </c>
      <c r="AB5" s="14" t="s">
        <v>174</v>
      </c>
      <c r="AC5" s="14" t="s">
        <v>176</v>
      </c>
      <c r="AD5" s="14" t="n">
        <v>7</v>
      </c>
      <c r="AE5" s="14" t="n">
        <v>6</v>
      </c>
    </row>
    <row r="6" customFormat="false" ht="15" hidden="false" customHeight="false" outlineLevel="0" collapsed="false">
      <c r="A6" s="2" t="n">
        <v>5</v>
      </c>
      <c r="B6" s="2" t="s">
        <v>9</v>
      </c>
      <c r="C6" s="2" t="s">
        <v>10</v>
      </c>
      <c r="D6" s="2" t="s">
        <v>18</v>
      </c>
      <c r="E6" s="11" t="s">
        <v>16</v>
      </c>
      <c r="F6" s="11" t="s">
        <v>12</v>
      </c>
      <c r="G6" s="2" t="n">
        <v>0</v>
      </c>
      <c r="H6" s="2" t="n">
        <v>3</v>
      </c>
      <c r="I6" s="12" t="n">
        <v>-3</v>
      </c>
      <c r="J6" s="13" t="n">
        <v>-26</v>
      </c>
      <c r="K6" s="13" t="n">
        <v>-3.67</v>
      </c>
      <c r="L6" s="13" t="n">
        <v>-0.27</v>
      </c>
      <c r="M6" s="13" t="n">
        <v>3</v>
      </c>
      <c r="N6" s="13" t="n">
        <v>10</v>
      </c>
      <c r="O6" s="13" t="n">
        <v>-1</v>
      </c>
      <c r="P6" s="13" t="n">
        <v>3</v>
      </c>
      <c r="Q6" s="13" t="n">
        <v>0</v>
      </c>
      <c r="R6" s="14" t="n">
        <v>40</v>
      </c>
      <c r="S6" s="14" t="n">
        <v>14</v>
      </c>
      <c r="T6" s="14" t="n">
        <v>188.18</v>
      </c>
      <c r="U6" s="14" t="n">
        <v>191.85</v>
      </c>
      <c r="V6" s="14" t="n">
        <v>27.23</v>
      </c>
      <c r="W6" s="14" t="n">
        <v>27.5</v>
      </c>
      <c r="X6" s="14" t="n">
        <v>7</v>
      </c>
      <c r="Y6" s="14" t="n">
        <v>4</v>
      </c>
      <c r="Z6" s="14" t="n">
        <v>10</v>
      </c>
      <c r="AA6" s="14" t="n">
        <v>0</v>
      </c>
      <c r="AB6" s="14" t="s">
        <v>177</v>
      </c>
      <c r="AC6" s="14" t="s">
        <v>174</v>
      </c>
      <c r="AD6" s="14" t="n">
        <v>6</v>
      </c>
      <c r="AE6" s="14" t="n">
        <v>6</v>
      </c>
    </row>
    <row r="7" customFormat="false" ht="15" hidden="false" customHeight="false" outlineLevel="0" collapsed="false">
      <c r="A7" s="2" t="n">
        <v>6</v>
      </c>
      <c r="B7" s="2" t="s">
        <v>9</v>
      </c>
      <c r="C7" s="2" t="s">
        <v>10</v>
      </c>
      <c r="D7" s="2" t="s">
        <v>18</v>
      </c>
      <c r="E7" s="11" t="s">
        <v>13</v>
      </c>
      <c r="F7" s="11" t="s">
        <v>15</v>
      </c>
      <c r="G7" s="2" t="n">
        <v>1</v>
      </c>
      <c r="H7" s="2" t="n">
        <v>0</v>
      </c>
      <c r="I7" s="12" t="n">
        <v>1</v>
      </c>
      <c r="J7" s="13" t="n">
        <v>-35</v>
      </c>
      <c r="K7" s="13" t="n">
        <v>-89.8</v>
      </c>
      <c r="L7" s="13" t="n">
        <v>-1.11</v>
      </c>
      <c r="M7" s="13" t="n">
        <v>-3</v>
      </c>
      <c r="N7" s="13" t="n">
        <v>-7</v>
      </c>
      <c r="O7" s="13" t="n">
        <v>0</v>
      </c>
      <c r="P7" s="13" t="n">
        <v>2</v>
      </c>
      <c r="Q7" s="13" t="n">
        <v>0</v>
      </c>
      <c r="R7" s="14" t="n">
        <v>60</v>
      </c>
      <c r="S7" s="14" t="n">
        <v>25</v>
      </c>
      <c r="T7" s="14" t="n">
        <v>49.25</v>
      </c>
      <c r="U7" s="14" t="n">
        <v>139.05</v>
      </c>
      <c r="V7" s="14" t="n">
        <v>26.35</v>
      </c>
      <c r="W7" s="14" t="n">
        <v>27.46</v>
      </c>
      <c r="X7" s="14" t="n">
        <v>2</v>
      </c>
      <c r="Y7" s="14" t="n">
        <v>5</v>
      </c>
      <c r="Z7" s="14" t="n">
        <v>6</v>
      </c>
      <c r="AA7" s="14" t="n">
        <v>13</v>
      </c>
      <c r="AB7" s="14" t="s">
        <v>175</v>
      </c>
      <c r="AC7" s="14" t="s">
        <v>176</v>
      </c>
      <c r="AD7" s="14" t="n">
        <v>6</v>
      </c>
      <c r="AE7" s="14" t="n">
        <v>6</v>
      </c>
    </row>
    <row r="8" customFormat="false" ht="23.85" hidden="false" customHeight="false" outlineLevel="0" collapsed="false">
      <c r="A8" s="2" t="n">
        <v>7</v>
      </c>
      <c r="B8" s="2" t="s">
        <v>9</v>
      </c>
      <c r="C8" s="2" t="s">
        <v>19</v>
      </c>
      <c r="D8" s="2" t="s">
        <v>14</v>
      </c>
      <c r="E8" s="11" t="s">
        <v>20</v>
      </c>
      <c r="F8" s="11" t="s">
        <v>21</v>
      </c>
      <c r="G8" s="2" t="n">
        <v>1</v>
      </c>
      <c r="H8" s="2" t="n">
        <v>1</v>
      </c>
      <c r="I8" s="12" t="n">
        <v>0</v>
      </c>
      <c r="J8" s="13" t="n">
        <v>34</v>
      </c>
      <c r="K8" s="13" t="n">
        <v>52.25</v>
      </c>
      <c r="L8" s="13" t="n">
        <v>0.5</v>
      </c>
      <c r="M8" s="13" t="n">
        <v>0</v>
      </c>
      <c r="N8" s="13" t="n">
        <v>-10</v>
      </c>
      <c r="O8" s="13" t="n">
        <v>1</v>
      </c>
      <c r="P8" s="13" t="n">
        <v>-3</v>
      </c>
      <c r="Q8" s="13" t="n">
        <v>0</v>
      </c>
      <c r="R8" s="14" t="n">
        <v>30</v>
      </c>
      <c r="S8" s="14" t="n">
        <v>64</v>
      </c>
      <c r="T8" s="14" t="n">
        <v>198.65</v>
      </c>
      <c r="U8" s="14" t="n">
        <v>146.4</v>
      </c>
      <c r="V8" s="14" t="n">
        <v>26.42</v>
      </c>
      <c r="W8" s="14" t="n">
        <v>25.92</v>
      </c>
      <c r="X8" s="14" t="n">
        <v>2</v>
      </c>
      <c r="Y8" s="14" t="n">
        <v>2</v>
      </c>
      <c r="Z8" s="14" t="n">
        <v>0</v>
      </c>
      <c r="AA8" s="14" t="n">
        <v>10</v>
      </c>
      <c r="AB8" s="14" t="s">
        <v>174</v>
      </c>
      <c r="AC8" s="14" t="s">
        <v>177</v>
      </c>
      <c r="AD8" s="14" t="n">
        <v>14</v>
      </c>
      <c r="AE8" s="14" t="n">
        <v>14</v>
      </c>
    </row>
    <row r="9" customFormat="false" ht="15" hidden="false" customHeight="false" outlineLevel="0" collapsed="false">
      <c r="A9" s="2" t="n">
        <v>8</v>
      </c>
      <c r="B9" s="2" t="s">
        <v>9</v>
      </c>
      <c r="C9" s="2" t="s">
        <v>19</v>
      </c>
      <c r="D9" s="2" t="s">
        <v>22</v>
      </c>
      <c r="E9" s="11" t="s">
        <v>23</v>
      </c>
      <c r="F9" s="11" t="s">
        <v>24</v>
      </c>
      <c r="G9" s="2" t="n">
        <v>1</v>
      </c>
      <c r="H9" s="2" t="n">
        <v>1</v>
      </c>
      <c r="I9" s="12" t="n">
        <v>0</v>
      </c>
      <c r="J9" s="13" t="n">
        <v>-37</v>
      </c>
      <c r="K9" s="13" t="n">
        <v>-312.57</v>
      </c>
      <c r="L9" s="13" t="n">
        <v>1.11</v>
      </c>
      <c r="M9" s="13" t="n">
        <v>-2</v>
      </c>
      <c r="N9" s="13" t="n">
        <v>-18</v>
      </c>
      <c r="O9" s="13" t="n">
        <v>0</v>
      </c>
      <c r="P9" s="13" t="n">
        <v>-4</v>
      </c>
      <c r="Q9" s="13" t="n">
        <v>0</v>
      </c>
      <c r="R9" s="14" t="n">
        <v>56</v>
      </c>
      <c r="S9" s="14" t="n">
        <v>19</v>
      </c>
      <c r="T9" s="14" t="n">
        <v>19.93</v>
      </c>
      <c r="U9" s="14" t="n">
        <v>332.5</v>
      </c>
      <c r="V9" s="14" t="n">
        <v>28.92</v>
      </c>
      <c r="W9" s="14" t="n">
        <v>27.81</v>
      </c>
      <c r="X9" s="14" t="n">
        <v>2</v>
      </c>
      <c r="Y9" s="14" t="n">
        <v>4</v>
      </c>
      <c r="Z9" s="14" t="n">
        <v>-6</v>
      </c>
      <c r="AA9" s="14" t="n">
        <v>12</v>
      </c>
      <c r="AB9" s="14" t="s">
        <v>176</v>
      </c>
      <c r="AC9" s="14" t="s">
        <v>177</v>
      </c>
      <c r="AD9" s="14" t="n">
        <v>14</v>
      </c>
      <c r="AE9" s="14" t="n">
        <v>14</v>
      </c>
    </row>
    <row r="10" customFormat="false" ht="23.85" hidden="false" customHeight="false" outlineLevel="0" collapsed="false">
      <c r="A10" s="2" t="n">
        <v>9</v>
      </c>
      <c r="B10" s="2" t="s">
        <v>9</v>
      </c>
      <c r="C10" s="2" t="s">
        <v>19</v>
      </c>
      <c r="D10" s="2" t="s">
        <v>17</v>
      </c>
      <c r="E10" s="11" t="s">
        <v>24</v>
      </c>
      <c r="F10" s="11" t="s">
        <v>21</v>
      </c>
      <c r="G10" s="2" t="n">
        <v>4</v>
      </c>
      <c r="H10" s="2" t="n">
        <v>1</v>
      </c>
      <c r="I10" s="12" t="n">
        <v>3</v>
      </c>
      <c r="J10" s="13" t="n">
        <v>45</v>
      </c>
      <c r="K10" s="13" t="n">
        <v>186.1</v>
      </c>
      <c r="L10" s="13" t="n">
        <v>1.89</v>
      </c>
      <c r="M10" s="13" t="n">
        <v>2</v>
      </c>
      <c r="N10" s="13" t="n">
        <v>2</v>
      </c>
      <c r="O10" s="13" t="n">
        <v>0</v>
      </c>
      <c r="P10" s="13" t="n">
        <v>0</v>
      </c>
      <c r="Q10" s="13" t="n">
        <v>-1</v>
      </c>
      <c r="R10" s="14" t="n">
        <v>19</v>
      </c>
      <c r="S10" s="14" t="n">
        <v>64</v>
      </c>
      <c r="T10" s="14" t="n">
        <v>332.5</v>
      </c>
      <c r="U10" s="14" t="n">
        <v>146.4</v>
      </c>
      <c r="V10" s="14" t="n">
        <v>27.81</v>
      </c>
      <c r="W10" s="14" t="n">
        <v>25.92</v>
      </c>
      <c r="X10" s="14" t="n">
        <v>4</v>
      </c>
      <c r="Y10" s="14" t="n">
        <v>2</v>
      </c>
      <c r="Z10" s="14" t="n">
        <v>12</v>
      </c>
      <c r="AA10" s="14" t="n">
        <v>10</v>
      </c>
      <c r="AB10" s="14" t="s">
        <v>177</v>
      </c>
      <c r="AC10" s="14" t="s">
        <v>177</v>
      </c>
      <c r="AD10" s="14" t="n">
        <v>5</v>
      </c>
      <c r="AE10" s="14" t="n">
        <v>6</v>
      </c>
    </row>
    <row r="11" customFormat="false" ht="15" hidden="false" customHeight="false" outlineLevel="0" collapsed="false">
      <c r="A11" s="2" t="n">
        <v>10</v>
      </c>
      <c r="B11" s="2" t="s">
        <v>9</v>
      </c>
      <c r="C11" s="2" t="s">
        <v>19</v>
      </c>
      <c r="D11" s="2" t="s">
        <v>25</v>
      </c>
      <c r="E11" s="11" t="s">
        <v>20</v>
      </c>
      <c r="F11" s="11" t="s">
        <v>23</v>
      </c>
      <c r="G11" s="2" t="n">
        <v>6</v>
      </c>
      <c r="H11" s="2" t="n">
        <v>0</v>
      </c>
      <c r="I11" s="12" t="n">
        <v>6</v>
      </c>
      <c r="J11" s="13" t="n">
        <v>26</v>
      </c>
      <c r="K11" s="13" t="n">
        <v>178.72</v>
      </c>
      <c r="L11" s="13" t="n">
        <v>-2.5</v>
      </c>
      <c r="M11" s="13" t="n">
        <v>0</v>
      </c>
      <c r="N11" s="13" t="n">
        <v>6</v>
      </c>
      <c r="O11" s="13" t="n">
        <v>1</v>
      </c>
      <c r="P11" s="13" t="n">
        <v>1</v>
      </c>
      <c r="Q11" s="13" t="n">
        <v>1</v>
      </c>
      <c r="R11" s="14" t="n">
        <v>30</v>
      </c>
      <c r="S11" s="14" t="n">
        <v>56</v>
      </c>
      <c r="T11" s="14" t="n">
        <v>198.65</v>
      </c>
      <c r="U11" s="14" t="n">
        <v>19.93</v>
      </c>
      <c r="V11" s="14" t="n">
        <v>26.42</v>
      </c>
      <c r="W11" s="14" t="n">
        <v>28.92</v>
      </c>
      <c r="X11" s="14" t="n">
        <v>2</v>
      </c>
      <c r="Y11" s="14" t="n">
        <v>2</v>
      </c>
      <c r="Z11" s="14" t="n">
        <v>0</v>
      </c>
      <c r="AA11" s="14" t="n">
        <v>-6</v>
      </c>
      <c r="AB11" s="14" t="s">
        <v>174</v>
      </c>
      <c r="AC11" s="14" t="s">
        <v>176</v>
      </c>
      <c r="AD11" s="14" t="n">
        <v>7</v>
      </c>
      <c r="AE11" s="14" t="n">
        <v>6</v>
      </c>
    </row>
    <row r="12" customFormat="false" ht="15" hidden="false" customHeight="false" outlineLevel="0" collapsed="false">
      <c r="A12" s="2" t="n">
        <v>11</v>
      </c>
      <c r="B12" s="2" t="s">
        <v>9</v>
      </c>
      <c r="C12" s="2" t="s">
        <v>19</v>
      </c>
      <c r="D12" s="2" t="s">
        <v>18</v>
      </c>
      <c r="E12" s="11" t="s">
        <v>24</v>
      </c>
      <c r="F12" s="11" t="s">
        <v>20</v>
      </c>
      <c r="G12" s="2" t="n">
        <v>2</v>
      </c>
      <c r="H12" s="2" t="n">
        <v>1</v>
      </c>
      <c r="I12" s="12" t="n">
        <v>1</v>
      </c>
      <c r="J12" s="13" t="n">
        <v>11</v>
      </c>
      <c r="K12" s="13" t="n">
        <v>133.85</v>
      </c>
      <c r="L12" s="13" t="n">
        <v>1.39</v>
      </c>
      <c r="M12" s="13" t="n">
        <v>2</v>
      </c>
      <c r="N12" s="13" t="n">
        <v>12</v>
      </c>
      <c r="O12" s="13" t="n">
        <v>-1</v>
      </c>
      <c r="P12" s="13" t="n">
        <v>3</v>
      </c>
      <c r="Q12" s="13" t="n">
        <v>1</v>
      </c>
      <c r="R12" s="14" t="n">
        <v>19</v>
      </c>
      <c r="S12" s="14" t="n">
        <v>30</v>
      </c>
      <c r="T12" s="14" t="n">
        <v>332.5</v>
      </c>
      <c r="U12" s="14" t="n">
        <v>198.65</v>
      </c>
      <c r="V12" s="14" t="n">
        <v>27.81</v>
      </c>
      <c r="W12" s="14" t="n">
        <v>26.42</v>
      </c>
      <c r="X12" s="14" t="n">
        <v>4</v>
      </c>
      <c r="Y12" s="14" t="n">
        <v>2</v>
      </c>
      <c r="Z12" s="14" t="n">
        <v>12</v>
      </c>
      <c r="AA12" s="14" t="n">
        <v>0</v>
      </c>
      <c r="AB12" s="14" t="s">
        <v>177</v>
      </c>
      <c r="AC12" s="14" t="s">
        <v>174</v>
      </c>
      <c r="AD12" s="14" t="n">
        <v>6</v>
      </c>
      <c r="AE12" s="14" t="n">
        <v>5</v>
      </c>
    </row>
    <row r="13" customFormat="false" ht="23.85" hidden="false" customHeight="false" outlineLevel="0" collapsed="false">
      <c r="A13" s="2" t="n">
        <v>12</v>
      </c>
      <c r="B13" s="2" t="s">
        <v>9</v>
      </c>
      <c r="C13" s="2" t="s">
        <v>19</v>
      </c>
      <c r="D13" s="2" t="s">
        <v>18</v>
      </c>
      <c r="E13" s="11" t="s">
        <v>21</v>
      </c>
      <c r="F13" s="11" t="s">
        <v>23</v>
      </c>
      <c r="G13" s="2" t="n">
        <v>3</v>
      </c>
      <c r="H13" s="2" t="n">
        <v>1</v>
      </c>
      <c r="I13" s="12" t="n">
        <v>2</v>
      </c>
      <c r="J13" s="13" t="n">
        <v>-8</v>
      </c>
      <c r="K13" s="13" t="n">
        <v>126.47</v>
      </c>
      <c r="L13" s="13" t="n">
        <v>-3</v>
      </c>
      <c r="M13" s="13" t="n">
        <v>0</v>
      </c>
      <c r="N13" s="13" t="n">
        <v>16</v>
      </c>
      <c r="O13" s="13" t="n">
        <v>0</v>
      </c>
      <c r="P13" s="13" t="n">
        <v>4</v>
      </c>
      <c r="Q13" s="13" t="n">
        <v>1</v>
      </c>
      <c r="R13" s="14" t="n">
        <v>64</v>
      </c>
      <c r="S13" s="14" t="n">
        <v>56</v>
      </c>
      <c r="T13" s="14" t="n">
        <v>146.4</v>
      </c>
      <c r="U13" s="14" t="n">
        <v>19.93</v>
      </c>
      <c r="V13" s="14" t="n">
        <v>25.92</v>
      </c>
      <c r="W13" s="14" t="n">
        <v>28.92</v>
      </c>
      <c r="X13" s="14" t="n">
        <v>2</v>
      </c>
      <c r="Y13" s="14" t="n">
        <v>2</v>
      </c>
      <c r="Z13" s="14" t="n">
        <v>10</v>
      </c>
      <c r="AA13" s="14" t="n">
        <v>-6</v>
      </c>
      <c r="AB13" s="14" t="s">
        <v>177</v>
      </c>
      <c r="AC13" s="14" t="s">
        <v>176</v>
      </c>
      <c r="AD13" s="14" t="n">
        <v>6</v>
      </c>
      <c r="AE13" s="14" t="n">
        <v>5</v>
      </c>
    </row>
    <row r="14" customFormat="false" ht="15" hidden="false" customHeight="false" outlineLevel="0" collapsed="false">
      <c r="A14" s="2" t="n">
        <v>13</v>
      </c>
      <c r="B14" s="2" t="s">
        <v>9</v>
      </c>
      <c r="C14" s="2" t="s">
        <v>26</v>
      </c>
      <c r="D14" s="2" t="s">
        <v>22</v>
      </c>
      <c r="E14" s="11" t="s">
        <v>27</v>
      </c>
      <c r="F14" s="11" t="s">
        <v>28</v>
      </c>
      <c r="G14" s="2" t="n">
        <v>1</v>
      </c>
      <c r="H14" s="2" t="n">
        <v>1</v>
      </c>
      <c r="I14" s="12" t="n">
        <v>0</v>
      </c>
      <c r="J14" s="13" t="n">
        <v>1</v>
      </c>
      <c r="K14" s="13" t="n">
        <v>480.5</v>
      </c>
      <c r="L14" s="13" t="n">
        <v>2.73</v>
      </c>
      <c r="M14" s="13" t="n">
        <v>3</v>
      </c>
      <c r="N14" s="13" t="n">
        <v>-13</v>
      </c>
      <c r="O14" s="13" t="n">
        <v>0</v>
      </c>
      <c r="P14" s="13" t="n">
        <v>1</v>
      </c>
      <c r="Q14" s="13" t="n">
        <v>0</v>
      </c>
      <c r="R14" s="14" t="n">
        <v>6</v>
      </c>
      <c r="S14" s="14" t="n">
        <v>7</v>
      </c>
      <c r="T14" s="14" t="n">
        <v>928.2</v>
      </c>
      <c r="U14" s="14" t="n">
        <v>447.7</v>
      </c>
      <c r="V14" s="14" t="n">
        <v>28.65</v>
      </c>
      <c r="W14" s="14" t="n">
        <v>25.92</v>
      </c>
      <c r="X14" s="14" t="n">
        <v>8</v>
      </c>
      <c r="Y14" s="14" t="n">
        <v>5</v>
      </c>
      <c r="Z14" s="14" t="n">
        <v>7</v>
      </c>
      <c r="AA14" s="14" t="n">
        <v>20</v>
      </c>
      <c r="AB14" s="14" t="s">
        <v>178</v>
      </c>
      <c r="AC14" s="14" t="s">
        <v>175</v>
      </c>
      <c r="AD14" s="14" t="n">
        <v>14</v>
      </c>
      <c r="AE14" s="14" t="n">
        <v>14</v>
      </c>
    </row>
    <row r="15" customFormat="false" ht="15" hidden="false" customHeight="false" outlineLevel="0" collapsed="false">
      <c r="A15" s="2" t="n">
        <v>14</v>
      </c>
      <c r="B15" s="2" t="s">
        <v>9</v>
      </c>
      <c r="C15" s="2" t="s">
        <v>26</v>
      </c>
      <c r="D15" s="2" t="s">
        <v>29</v>
      </c>
      <c r="E15" s="11" t="s">
        <v>30</v>
      </c>
      <c r="F15" s="11" t="s">
        <v>31</v>
      </c>
      <c r="G15" s="2" t="n">
        <v>0</v>
      </c>
      <c r="H15" s="2" t="n">
        <v>1</v>
      </c>
      <c r="I15" s="12" t="n">
        <v>-1</v>
      </c>
      <c r="J15" s="13" t="n">
        <v>-41</v>
      </c>
      <c r="K15" s="13" t="n">
        <v>-114.35</v>
      </c>
      <c r="L15" s="13" t="n">
        <v>-1.65</v>
      </c>
      <c r="M15" s="13" t="n">
        <v>0</v>
      </c>
      <c r="N15" s="13" t="n">
        <v>-3</v>
      </c>
      <c r="O15" s="13" t="n">
        <v>0</v>
      </c>
      <c r="P15" s="13" t="n">
        <v>-3</v>
      </c>
      <c r="Q15" s="13" t="n">
        <v>0</v>
      </c>
      <c r="R15" s="14" t="n">
        <v>83</v>
      </c>
      <c r="S15" s="14" t="n">
        <v>42</v>
      </c>
      <c r="T15" s="14" t="n">
        <v>55.9</v>
      </c>
      <c r="U15" s="14" t="n">
        <v>170.25</v>
      </c>
      <c r="V15" s="14" t="n">
        <v>27.08</v>
      </c>
      <c r="W15" s="14" t="n">
        <v>28.73</v>
      </c>
      <c r="X15" s="14" t="n">
        <v>2</v>
      </c>
      <c r="Y15" s="14" t="n">
        <v>2</v>
      </c>
      <c r="Z15" s="14" t="n">
        <v>3</v>
      </c>
      <c r="AA15" s="14" t="n">
        <v>6</v>
      </c>
      <c r="AB15" s="14" t="s">
        <v>174</v>
      </c>
      <c r="AC15" s="14" t="s">
        <v>177</v>
      </c>
      <c r="AD15" s="14" t="n">
        <v>14</v>
      </c>
      <c r="AE15" s="14" t="n">
        <v>14</v>
      </c>
    </row>
    <row r="16" customFormat="false" ht="15" hidden="false" customHeight="false" outlineLevel="0" collapsed="false">
      <c r="A16" s="2" t="n">
        <v>15</v>
      </c>
      <c r="B16" s="2" t="s">
        <v>9</v>
      </c>
      <c r="C16" s="2" t="s">
        <v>26</v>
      </c>
      <c r="D16" s="2" t="s">
        <v>25</v>
      </c>
      <c r="E16" s="11" t="s">
        <v>31</v>
      </c>
      <c r="F16" s="11" t="s">
        <v>28</v>
      </c>
      <c r="G16" s="2" t="n">
        <v>0</v>
      </c>
      <c r="H16" s="2" t="n">
        <v>1</v>
      </c>
      <c r="I16" s="12" t="n">
        <v>-1</v>
      </c>
      <c r="J16" s="13" t="n">
        <v>-35</v>
      </c>
      <c r="K16" s="13" t="n">
        <v>-277.45</v>
      </c>
      <c r="L16" s="13" t="n">
        <v>2.81</v>
      </c>
      <c r="M16" s="13" t="n">
        <v>-3</v>
      </c>
      <c r="N16" s="13" t="n">
        <v>-14</v>
      </c>
      <c r="O16" s="13" t="n">
        <v>0</v>
      </c>
      <c r="P16" s="13" t="n">
        <v>2</v>
      </c>
      <c r="Q16" s="13" t="n">
        <v>-1</v>
      </c>
      <c r="R16" s="14" t="n">
        <v>42</v>
      </c>
      <c r="S16" s="14" t="n">
        <v>7</v>
      </c>
      <c r="T16" s="14" t="n">
        <v>170.25</v>
      </c>
      <c r="U16" s="14" t="n">
        <v>447.7</v>
      </c>
      <c r="V16" s="14" t="n">
        <v>28.73</v>
      </c>
      <c r="W16" s="14" t="n">
        <v>25.92</v>
      </c>
      <c r="X16" s="14" t="n">
        <v>2</v>
      </c>
      <c r="Y16" s="14" t="n">
        <v>5</v>
      </c>
      <c r="Z16" s="14" t="n">
        <v>6</v>
      </c>
      <c r="AA16" s="14" t="n">
        <v>20</v>
      </c>
      <c r="AB16" s="14" t="s">
        <v>177</v>
      </c>
      <c r="AC16" s="14" t="s">
        <v>175</v>
      </c>
      <c r="AD16" s="14" t="n">
        <v>5</v>
      </c>
      <c r="AE16" s="14" t="n">
        <v>6</v>
      </c>
    </row>
    <row r="17" customFormat="false" ht="15" hidden="false" customHeight="false" outlineLevel="0" collapsed="false">
      <c r="A17" s="2" t="n">
        <v>16</v>
      </c>
      <c r="B17" s="2" t="s">
        <v>9</v>
      </c>
      <c r="C17" s="2" t="s">
        <v>26</v>
      </c>
      <c r="D17" s="2" t="s">
        <v>32</v>
      </c>
      <c r="E17" s="11" t="s">
        <v>27</v>
      </c>
      <c r="F17" s="11" t="s">
        <v>30</v>
      </c>
      <c r="G17" s="2" t="n">
        <v>3</v>
      </c>
      <c r="H17" s="2" t="n">
        <v>0</v>
      </c>
      <c r="I17" s="12" t="n">
        <v>3</v>
      </c>
      <c r="J17" s="13" t="n">
        <v>77</v>
      </c>
      <c r="K17" s="13" t="n">
        <v>872.3</v>
      </c>
      <c r="L17" s="13" t="n">
        <v>1.57</v>
      </c>
      <c r="M17" s="13" t="n">
        <v>6</v>
      </c>
      <c r="N17" s="13" t="n">
        <v>4</v>
      </c>
      <c r="O17" s="13" t="n">
        <v>0</v>
      </c>
      <c r="P17" s="13" t="n">
        <v>2</v>
      </c>
      <c r="Q17" s="13" t="n">
        <v>1</v>
      </c>
      <c r="R17" s="14" t="n">
        <v>6</v>
      </c>
      <c r="S17" s="14" t="n">
        <v>83</v>
      </c>
      <c r="T17" s="14" t="n">
        <v>928.2</v>
      </c>
      <c r="U17" s="14" t="n">
        <v>55.9</v>
      </c>
      <c r="V17" s="14" t="n">
        <v>28.65</v>
      </c>
      <c r="W17" s="14" t="n">
        <v>27.08</v>
      </c>
      <c r="X17" s="14" t="n">
        <v>8</v>
      </c>
      <c r="Y17" s="14" t="n">
        <v>2</v>
      </c>
      <c r="Z17" s="14" t="n">
        <v>7</v>
      </c>
      <c r="AA17" s="14" t="n">
        <v>3</v>
      </c>
      <c r="AB17" s="14" t="s">
        <v>178</v>
      </c>
      <c r="AC17" s="14" t="s">
        <v>174</v>
      </c>
      <c r="AD17" s="14" t="n">
        <v>7</v>
      </c>
      <c r="AE17" s="14" t="n">
        <v>6</v>
      </c>
    </row>
    <row r="18" customFormat="false" ht="15" hidden="false" customHeight="false" outlineLevel="0" collapsed="false">
      <c r="A18" s="2" t="n">
        <v>17</v>
      </c>
      <c r="B18" s="2" t="s">
        <v>9</v>
      </c>
      <c r="C18" s="2" t="s">
        <v>26</v>
      </c>
      <c r="D18" s="2" t="s">
        <v>18</v>
      </c>
      <c r="E18" s="11" t="s">
        <v>31</v>
      </c>
      <c r="F18" s="11" t="s">
        <v>27</v>
      </c>
      <c r="G18" s="2" t="n">
        <v>0</v>
      </c>
      <c r="H18" s="2" t="n">
        <v>3</v>
      </c>
      <c r="I18" s="12" t="n">
        <v>-3</v>
      </c>
      <c r="J18" s="13" t="n">
        <v>-36</v>
      </c>
      <c r="K18" s="13" t="n">
        <v>-757.95</v>
      </c>
      <c r="L18" s="13" t="n">
        <v>0.08</v>
      </c>
      <c r="M18" s="13" t="n">
        <v>-6</v>
      </c>
      <c r="N18" s="13" t="n">
        <v>-1</v>
      </c>
      <c r="O18" s="13" t="n">
        <v>0</v>
      </c>
      <c r="P18" s="13" t="n">
        <v>1</v>
      </c>
      <c r="Q18" s="13" t="n">
        <v>1</v>
      </c>
      <c r="R18" s="14" t="n">
        <v>42</v>
      </c>
      <c r="S18" s="14" t="n">
        <v>6</v>
      </c>
      <c r="T18" s="14" t="n">
        <v>170.25</v>
      </c>
      <c r="U18" s="14" t="n">
        <v>928.2</v>
      </c>
      <c r="V18" s="14" t="n">
        <v>28.73</v>
      </c>
      <c r="W18" s="14" t="n">
        <v>28.65</v>
      </c>
      <c r="X18" s="14" t="n">
        <v>2</v>
      </c>
      <c r="Y18" s="14" t="n">
        <v>8</v>
      </c>
      <c r="Z18" s="14" t="n">
        <v>6</v>
      </c>
      <c r="AA18" s="14" t="n">
        <v>7</v>
      </c>
      <c r="AB18" s="14" t="s">
        <v>177</v>
      </c>
      <c r="AC18" s="14" t="s">
        <v>178</v>
      </c>
      <c r="AD18" s="14" t="n">
        <v>5</v>
      </c>
      <c r="AE18" s="14" t="n">
        <v>4</v>
      </c>
    </row>
    <row r="19" customFormat="false" ht="15" hidden="false" customHeight="false" outlineLevel="0" collapsed="false">
      <c r="A19" s="2" t="n">
        <v>18</v>
      </c>
      <c r="B19" s="2" t="s">
        <v>9</v>
      </c>
      <c r="C19" s="2" t="s">
        <v>26</v>
      </c>
      <c r="D19" s="2" t="s">
        <v>18</v>
      </c>
      <c r="E19" s="11" t="s">
        <v>28</v>
      </c>
      <c r="F19" s="11" t="s">
        <v>30</v>
      </c>
      <c r="G19" s="2" t="n">
        <v>4</v>
      </c>
      <c r="H19" s="2" t="n">
        <v>2</v>
      </c>
      <c r="I19" s="12" t="n">
        <v>2</v>
      </c>
      <c r="J19" s="13" t="n">
        <v>76</v>
      </c>
      <c r="K19" s="13" t="n">
        <v>391.8</v>
      </c>
      <c r="L19" s="13" t="n">
        <v>-1.16</v>
      </c>
      <c r="M19" s="13" t="n">
        <v>3</v>
      </c>
      <c r="N19" s="13" t="n">
        <v>17</v>
      </c>
      <c r="O19" s="13" t="n">
        <v>0</v>
      </c>
      <c r="P19" s="13" t="n">
        <v>1</v>
      </c>
      <c r="Q19" s="13" t="n">
        <v>1</v>
      </c>
      <c r="R19" s="14" t="n">
        <v>7</v>
      </c>
      <c r="S19" s="14" t="n">
        <v>83</v>
      </c>
      <c r="T19" s="14" t="n">
        <v>447.7</v>
      </c>
      <c r="U19" s="14" t="n">
        <v>55.9</v>
      </c>
      <c r="V19" s="14" t="n">
        <v>25.92</v>
      </c>
      <c r="W19" s="14" t="n">
        <v>27.08</v>
      </c>
      <c r="X19" s="14" t="n">
        <v>5</v>
      </c>
      <c r="Y19" s="14" t="n">
        <v>2</v>
      </c>
      <c r="Z19" s="14" t="n">
        <v>20</v>
      </c>
      <c r="AA19" s="14" t="n">
        <v>3</v>
      </c>
      <c r="AB19" s="14" t="s">
        <v>175</v>
      </c>
      <c r="AC19" s="14" t="s">
        <v>174</v>
      </c>
      <c r="AD19" s="14" t="n">
        <v>5</v>
      </c>
      <c r="AE19" s="14" t="n">
        <v>4</v>
      </c>
    </row>
    <row r="20" customFormat="false" ht="15" hidden="false" customHeight="false" outlineLevel="0" collapsed="false">
      <c r="A20" s="2" t="n">
        <v>19</v>
      </c>
      <c r="B20" s="2" t="s">
        <v>9</v>
      </c>
      <c r="C20" s="2" t="s">
        <v>33</v>
      </c>
      <c r="D20" s="2" t="s">
        <v>14</v>
      </c>
      <c r="E20" s="11" t="s">
        <v>34</v>
      </c>
      <c r="F20" s="11" t="s">
        <v>35</v>
      </c>
      <c r="G20" s="2" t="n">
        <v>4</v>
      </c>
      <c r="H20" s="2" t="n">
        <v>1</v>
      </c>
      <c r="I20" s="12" t="n">
        <v>3</v>
      </c>
      <c r="J20" s="13" t="n">
        <v>24</v>
      </c>
      <c r="K20" s="13" t="n">
        <v>231.95</v>
      </c>
      <c r="L20" s="13" t="n">
        <v>-2.12</v>
      </c>
      <c r="M20" s="13" t="n">
        <v>3</v>
      </c>
      <c r="N20" s="13" t="n">
        <v>-4</v>
      </c>
      <c r="O20" s="13" t="n">
        <v>1</v>
      </c>
      <c r="P20" s="13" t="n">
        <v>-2</v>
      </c>
      <c r="Q20" s="13" t="n">
        <v>0</v>
      </c>
      <c r="R20" s="14" t="n">
        <v>17</v>
      </c>
      <c r="S20" s="14" t="n">
        <v>41</v>
      </c>
      <c r="T20" s="14" t="n">
        <v>385.6</v>
      </c>
      <c r="U20" s="14" t="n">
        <v>153.65</v>
      </c>
      <c r="V20" s="14" t="n">
        <v>26.42</v>
      </c>
      <c r="W20" s="14" t="n">
        <v>28.54</v>
      </c>
      <c r="X20" s="14" t="n">
        <v>6</v>
      </c>
      <c r="Y20" s="14" t="n">
        <v>3</v>
      </c>
      <c r="Z20" s="14" t="n">
        <v>0</v>
      </c>
      <c r="AA20" s="14" t="n">
        <v>4</v>
      </c>
      <c r="AB20" s="14" t="s">
        <v>174</v>
      </c>
      <c r="AC20" s="14" t="s">
        <v>178</v>
      </c>
      <c r="AD20" s="14" t="n">
        <v>14</v>
      </c>
      <c r="AE20" s="14" t="n">
        <v>14</v>
      </c>
    </row>
    <row r="21" customFormat="false" ht="15" hidden="false" customHeight="false" outlineLevel="0" collapsed="false">
      <c r="A21" s="2" t="n">
        <v>20</v>
      </c>
      <c r="B21" s="2" t="s">
        <v>9</v>
      </c>
      <c r="C21" s="2" t="s">
        <v>33</v>
      </c>
      <c r="D21" s="2" t="s">
        <v>29</v>
      </c>
      <c r="E21" s="11" t="s">
        <v>36</v>
      </c>
      <c r="F21" s="11" t="s">
        <v>37</v>
      </c>
      <c r="G21" s="2" t="n">
        <v>2</v>
      </c>
      <c r="H21" s="2" t="n">
        <v>0</v>
      </c>
      <c r="I21" s="12" t="n">
        <v>2</v>
      </c>
      <c r="J21" s="13" t="n">
        <v>-5</v>
      </c>
      <c r="K21" s="13" t="n">
        <v>-396.25</v>
      </c>
      <c r="L21" s="13" t="n">
        <v>-0.35</v>
      </c>
      <c r="M21" s="13" t="n">
        <v>-3</v>
      </c>
      <c r="N21" s="13" t="n">
        <v>2</v>
      </c>
      <c r="O21" s="13" t="n">
        <v>0</v>
      </c>
      <c r="P21" s="13" t="n">
        <v>-4</v>
      </c>
      <c r="Q21" s="13" t="n">
        <v>0</v>
      </c>
      <c r="R21" s="14" t="n">
        <v>27</v>
      </c>
      <c r="S21" s="14" t="n">
        <v>22</v>
      </c>
      <c r="T21" s="14" t="n">
        <v>77.45</v>
      </c>
      <c r="U21" s="14" t="n">
        <v>473.7</v>
      </c>
      <c r="V21" s="14" t="n">
        <v>26.88</v>
      </c>
      <c r="W21" s="14" t="n">
        <v>27.23</v>
      </c>
      <c r="X21" s="14" t="n">
        <v>3</v>
      </c>
      <c r="Y21" s="14" t="n">
        <v>6</v>
      </c>
      <c r="Z21" s="14" t="n">
        <v>9</v>
      </c>
      <c r="AA21" s="14" t="n">
        <v>7</v>
      </c>
      <c r="AB21" s="14" t="s">
        <v>176</v>
      </c>
      <c r="AC21" s="14" t="s">
        <v>177</v>
      </c>
      <c r="AD21" s="14" t="n">
        <v>14</v>
      </c>
      <c r="AE21" s="14" t="n">
        <v>14</v>
      </c>
    </row>
    <row r="22" customFormat="false" ht="15" hidden="false" customHeight="false" outlineLevel="0" collapsed="false">
      <c r="A22" s="2" t="n">
        <v>21</v>
      </c>
      <c r="B22" s="2" t="s">
        <v>9</v>
      </c>
      <c r="C22" s="2" t="s">
        <v>33</v>
      </c>
      <c r="D22" s="2" t="s">
        <v>25</v>
      </c>
      <c r="E22" s="11" t="s">
        <v>34</v>
      </c>
      <c r="F22" s="11" t="s">
        <v>36</v>
      </c>
      <c r="G22" s="2" t="n">
        <v>2</v>
      </c>
      <c r="H22" s="2" t="n">
        <v>0</v>
      </c>
      <c r="I22" s="12" t="n">
        <v>2</v>
      </c>
      <c r="J22" s="13" t="n">
        <v>10</v>
      </c>
      <c r="K22" s="13" t="n">
        <v>308.15</v>
      </c>
      <c r="L22" s="13" t="n">
        <v>-0.46</v>
      </c>
      <c r="M22" s="13" t="n">
        <v>3</v>
      </c>
      <c r="N22" s="13" t="n">
        <v>-9</v>
      </c>
      <c r="O22" s="13" t="n">
        <v>1</v>
      </c>
      <c r="P22" s="13" t="n">
        <v>1</v>
      </c>
      <c r="Q22" s="13" t="n">
        <v>2</v>
      </c>
      <c r="R22" s="14" t="n">
        <v>17</v>
      </c>
      <c r="S22" s="14" t="n">
        <v>27</v>
      </c>
      <c r="T22" s="14" t="n">
        <v>385.6</v>
      </c>
      <c r="U22" s="14" t="n">
        <v>77.45</v>
      </c>
      <c r="V22" s="14" t="n">
        <v>26.42</v>
      </c>
      <c r="W22" s="14" t="n">
        <v>26.88</v>
      </c>
      <c r="X22" s="14" t="n">
        <v>6</v>
      </c>
      <c r="Y22" s="14" t="n">
        <v>3</v>
      </c>
      <c r="Z22" s="14" t="n">
        <v>0</v>
      </c>
      <c r="AA22" s="14" t="n">
        <v>9</v>
      </c>
      <c r="AB22" s="14" t="s">
        <v>174</v>
      </c>
      <c r="AC22" s="14" t="s">
        <v>176</v>
      </c>
      <c r="AD22" s="14" t="n">
        <v>7</v>
      </c>
      <c r="AE22" s="14" t="n">
        <v>5</v>
      </c>
    </row>
    <row r="23" customFormat="false" ht="15" hidden="false" customHeight="false" outlineLevel="0" collapsed="false">
      <c r="A23" s="2" t="n">
        <v>22</v>
      </c>
      <c r="B23" s="2" t="s">
        <v>9</v>
      </c>
      <c r="C23" s="2" t="s">
        <v>33</v>
      </c>
      <c r="D23" s="2" t="s">
        <v>32</v>
      </c>
      <c r="E23" s="11" t="s">
        <v>37</v>
      </c>
      <c r="F23" s="11" t="s">
        <v>35</v>
      </c>
      <c r="G23" s="2" t="n">
        <v>0</v>
      </c>
      <c r="H23" s="2" t="n">
        <v>1</v>
      </c>
      <c r="I23" s="12" t="n">
        <v>-1</v>
      </c>
      <c r="J23" s="13" t="n">
        <v>19</v>
      </c>
      <c r="K23" s="13" t="n">
        <v>320.05</v>
      </c>
      <c r="L23" s="13" t="n">
        <v>-1.31</v>
      </c>
      <c r="M23" s="13" t="n">
        <v>3</v>
      </c>
      <c r="N23" s="13" t="n">
        <v>3</v>
      </c>
      <c r="O23" s="13" t="n">
        <v>0</v>
      </c>
      <c r="P23" s="13" t="n">
        <v>1</v>
      </c>
      <c r="Q23" s="13" t="n">
        <v>-2</v>
      </c>
      <c r="R23" s="14" t="n">
        <v>22</v>
      </c>
      <c r="S23" s="14" t="n">
        <v>41</v>
      </c>
      <c r="T23" s="14" t="n">
        <v>473.7</v>
      </c>
      <c r="U23" s="14" t="n">
        <v>153.65</v>
      </c>
      <c r="V23" s="14" t="n">
        <v>27.23</v>
      </c>
      <c r="W23" s="14" t="n">
        <v>28.54</v>
      </c>
      <c r="X23" s="14" t="n">
        <v>6</v>
      </c>
      <c r="Y23" s="14" t="n">
        <v>3</v>
      </c>
      <c r="Z23" s="14" t="n">
        <v>7</v>
      </c>
      <c r="AA23" s="14" t="n">
        <v>4</v>
      </c>
      <c r="AB23" s="14" t="s">
        <v>177</v>
      </c>
      <c r="AC23" s="14" t="s">
        <v>178</v>
      </c>
      <c r="AD23" s="14" t="n">
        <v>6</v>
      </c>
      <c r="AE23" s="14" t="n">
        <v>8</v>
      </c>
    </row>
    <row r="24" customFormat="false" ht="15" hidden="false" customHeight="false" outlineLevel="0" collapsed="false">
      <c r="A24" s="2" t="n">
        <v>23</v>
      </c>
      <c r="B24" s="2" t="s">
        <v>9</v>
      </c>
      <c r="C24" s="2" t="s">
        <v>33</v>
      </c>
      <c r="D24" s="2" t="s">
        <v>38</v>
      </c>
      <c r="E24" s="11" t="s">
        <v>37</v>
      </c>
      <c r="F24" s="11" t="s">
        <v>34</v>
      </c>
      <c r="G24" s="2" t="n">
        <v>3</v>
      </c>
      <c r="H24" s="2" t="n">
        <v>2</v>
      </c>
      <c r="I24" s="12" t="n">
        <v>1</v>
      </c>
      <c r="J24" s="13" t="n">
        <v>-5</v>
      </c>
      <c r="K24" s="13" t="n">
        <v>88.1</v>
      </c>
      <c r="L24" s="13" t="n">
        <v>0.81</v>
      </c>
      <c r="M24" s="13" t="n">
        <v>0</v>
      </c>
      <c r="N24" s="13" t="n">
        <v>7</v>
      </c>
      <c r="O24" s="13" t="n">
        <v>-1</v>
      </c>
      <c r="P24" s="13" t="n">
        <v>3</v>
      </c>
      <c r="Q24" s="13" t="n">
        <v>-1</v>
      </c>
      <c r="R24" s="14" t="n">
        <v>22</v>
      </c>
      <c r="S24" s="14" t="n">
        <v>17</v>
      </c>
      <c r="T24" s="14" t="n">
        <v>473.7</v>
      </c>
      <c r="U24" s="14" t="n">
        <v>385.6</v>
      </c>
      <c r="V24" s="14" t="n">
        <v>27.23</v>
      </c>
      <c r="W24" s="14" t="n">
        <v>26.42</v>
      </c>
      <c r="X24" s="14" t="n">
        <v>6</v>
      </c>
      <c r="Y24" s="14" t="n">
        <v>6</v>
      </c>
      <c r="Z24" s="14" t="n">
        <v>7</v>
      </c>
      <c r="AA24" s="14" t="n">
        <v>0</v>
      </c>
      <c r="AB24" s="14" t="s">
        <v>177</v>
      </c>
      <c r="AC24" s="14" t="s">
        <v>174</v>
      </c>
      <c r="AD24" s="14" t="n">
        <v>5</v>
      </c>
      <c r="AE24" s="14" t="n">
        <v>6</v>
      </c>
    </row>
    <row r="25" customFormat="false" ht="15" hidden="false" customHeight="false" outlineLevel="0" collapsed="false">
      <c r="A25" s="2" t="n">
        <v>24</v>
      </c>
      <c r="B25" s="2" t="s">
        <v>9</v>
      </c>
      <c r="C25" s="2" t="s">
        <v>33</v>
      </c>
      <c r="D25" s="2" t="s">
        <v>38</v>
      </c>
      <c r="E25" s="11" t="s">
        <v>35</v>
      </c>
      <c r="F25" s="11" t="s">
        <v>36</v>
      </c>
      <c r="G25" s="2" t="n">
        <v>0</v>
      </c>
      <c r="H25" s="2" t="n">
        <v>0</v>
      </c>
      <c r="I25" s="12" t="n">
        <v>0</v>
      </c>
      <c r="J25" s="13" t="n">
        <v>-14</v>
      </c>
      <c r="K25" s="13" t="n">
        <v>76.2</v>
      </c>
      <c r="L25" s="13" t="n">
        <v>1.66</v>
      </c>
      <c r="M25" s="13" t="n">
        <v>0</v>
      </c>
      <c r="N25" s="13" t="n">
        <v>-5</v>
      </c>
      <c r="O25" s="13" t="n">
        <v>0</v>
      </c>
      <c r="P25" s="13" t="n">
        <v>3</v>
      </c>
      <c r="Q25" s="13" t="n">
        <v>-1</v>
      </c>
      <c r="R25" s="14" t="n">
        <v>41</v>
      </c>
      <c r="S25" s="14" t="n">
        <v>27</v>
      </c>
      <c r="T25" s="14" t="n">
        <v>153.65</v>
      </c>
      <c r="U25" s="14" t="n">
        <v>77.45</v>
      </c>
      <c r="V25" s="14" t="n">
        <v>28.54</v>
      </c>
      <c r="W25" s="14" t="n">
        <v>26.88</v>
      </c>
      <c r="X25" s="14" t="n">
        <v>3</v>
      </c>
      <c r="Y25" s="14" t="n">
        <v>3</v>
      </c>
      <c r="Z25" s="14" t="n">
        <v>4</v>
      </c>
      <c r="AA25" s="14" t="n">
        <v>9</v>
      </c>
      <c r="AB25" s="14" t="s">
        <v>178</v>
      </c>
      <c r="AC25" s="14" t="s">
        <v>176</v>
      </c>
      <c r="AD25" s="14" t="n">
        <v>5</v>
      </c>
      <c r="AE25" s="14" t="n">
        <v>6</v>
      </c>
    </row>
    <row r="26" customFormat="false" ht="15" hidden="false" customHeight="false" outlineLevel="0" collapsed="false">
      <c r="A26" s="2" t="n">
        <v>25</v>
      </c>
      <c r="B26" s="2" t="s">
        <v>9</v>
      </c>
      <c r="C26" s="2" t="s">
        <v>39</v>
      </c>
      <c r="D26" s="2" t="s">
        <v>29</v>
      </c>
      <c r="E26" s="11" t="s">
        <v>40</v>
      </c>
      <c r="F26" s="11" t="s">
        <v>41</v>
      </c>
      <c r="G26" s="2" t="n">
        <v>7</v>
      </c>
      <c r="H26" s="2" t="n">
        <v>1</v>
      </c>
      <c r="I26" s="12" t="n">
        <v>6</v>
      </c>
      <c r="J26" s="13" t="n">
        <v>72</v>
      </c>
      <c r="K26" s="13" t="n">
        <v>921.22</v>
      </c>
      <c r="L26" s="13" t="n">
        <v>0</v>
      </c>
      <c r="M26" s="13" t="n">
        <v>7</v>
      </c>
      <c r="N26" s="13" t="n">
        <v>3</v>
      </c>
      <c r="O26" s="13" t="n">
        <v>0</v>
      </c>
      <c r="P26" s="13" t="n">
        <v>3</v>
      </c>
      <c r="Q26" s="13" t="n">
        <v>0</v>
      </c>
      <c r="R26" s="14" t="n">
        <v>10</v>
      </c>
      <c r="S26" s="14" t="n">
        <v>82</v>
      </c>
      <c r="T26" s="14" t="n">
        <v>947</v>
      </c>
      <c r="U26" s="14" t="n">
        <v>25.78</v>
      </c>
      <c r="V26" s="14" t="n">
        <v>27.54</v>
      </c>
      <c r="W26" s="14" t="n">
        <v>27.54</v>
      </c>
      <c r="X26" s="14" t="n">
        <v>8</v>
      </c>
      <c r="Y26" s="14" t="n">
        <v>1</v>
      </c>
      <c r="Z26" s="14" t="n">
        <v>13</v>
      </c>
      <c r="AA26" s="14" t="n">
        <v>10</v>
      </c>
      <c r="AB26" s="14" t="s">
        <v>177</v>
      </c>
      <c r="AC26" s="14" t="s">
        <v>174</v>
      </c>
      <c r="AD26" s="14" t="n">
        <v>14</v>
      </c>
      <c r="AE26" s="14" t="n">
        <v>14</v>
      </c>
    </row>
    <row r="27" customFormat="false" ht="15" hidden="false" customHeight="false" outlineLevel="0" collapsed="false">
      <c r="A27" s="2" t="n">
        <v>26</v>
      </c>
      <c r="B27" s="2" t="s">
        <v>9</v>
      </c>
      <c r="C27" s="2" t="s">
        <v>39</v>
      </c>
      <c r="D27" s="2" t="s">
        <v>29</v>
      </c>
      <c r="E27" s="11" t="s">
        <v>42</v>
      </c>
      <c r="F27" s="11" t="s">
        <v>43</v>
      </c>
      <c r="G27" s="2" t="n">
        <v>1</v>
      </c>
      <c r="H27" s="2" t="n">
        <v>0</v>
      </c>
      <c r="I27" s="12" t="n">
        <v>1</v>
      </c>
      <c r="J27" s="13" t="n">
        <v>-10</v>
      </c>
      <c r="K27" s="13" t="n">
        <v>153.4</v>
      </c>
      <c r="L27" s="13" t="n">
        <v>-0.23</v>
      </c>
      <c r="M27" s="13" t="n">
        <v>-1</v>
      </c>
      <c r="N27" s="13" t="n">
        <v>16</v>
      </c>
      <c r="O27" s="13" t="n">
        <v>0</v>
      </c>
      <c r="P27" s="13" t="n">
        <v>-1</v>
      </c>
      <c r="Q27" s="13" t="n">
        <v>0</v>
      </c>
      <c r="R27" s="14" t="n">
        <v>33</v>
      </c>
      <c r="S27" s="14" t="n">
        <v>23</v>
      </c>
      <c r="T27" s="14" t="n">
        <v>522.1</v>
      </c>
      <c r="U27" s="14" t="n">
        <v>368.7</v>
      </c>
      <c r="V27" s="14" t="n">
        <v>25.35</v>
      </c>
      <c r="W27" s="14" t="n">
        <v>25.58</v>
      </c>
      <c r="X27" s="14" t="n">
        <v>2</v>
      </c>
      <c r="Y27" s="14" t="n">
        <v>3</v>
      </c>
      <c r="Z27" s="14" t="n">
        <v>25</v>
      </c>
      <c r="AA27" s="14" t="n">
        <v>9</v>
      </c>
      <c r="AB27" s="14" t="s">
        <v>175</v>
      </c>
      <c r="AC27" s="14" t="s">
        <v>178</v>
      </c>
      <c r="AD27" s="14" t="n">
        <v>14</v>
      </c>
      <c r="AE27" s="14" t="n">
        <v>14</v>
      </c>
    </row>
    <row r="28" customFormat="false" ht="15" hidden="false" customHeight="false" outlineLevel="0" collapsed="false">
      <c r="A28" s="2" t="n">
        <v>27</v>
      </c>
      <c r="B28" s="2" t="s">
        <v>9</v>
      </c>
      <c r="C28" s="2" t="s">
        <v>39</v>
      </c>
      <c r="D28" s="2" t="s">
        <v>32</v>
      </c>
      <c r="E28" s="11" t="s">
        <v>40</v>
      </c>
      <c r="F28" s="11" t="s">
        <v>42</v>
      </c>
      <c r="G28" s="2" t="n">
        <v>2</v>
      </c>
      <c r="H28" s="2" t="n">
        <v>1</v>
      </c>
      <c r="I28" s="12" t="n">
        <v>1</v>
      </c>
      <c r="J28" s="13" t="n">
        <v>23</v>
      </c>
      <c r="K28" s="13" t="n">
        <v>424.9</v>
      </c>
      <c r="L28" s="13" t="n">
        <v>2.19</v>
      </c>
      <c r="M28" s="13" t="n">
        <v>6</v>
      </c>
      <c r="N28" s="13" t="n">
        <v>-12</v>
      </c>
      <c r="O28" s="13" t="n">
        <v>0</v>
      </c>
      <c r="P28" s="13" t="n">
        <v>2</v>
      </c>
      <c r="Q28" s="13" t="n">
        <v>0</v>
      </c>
      <c r="R28" s="14" t="n">
        <v>10</v>
      </c>
      <c r="S28" s="14" t="n">
        <v>33</v>
      </c>
      <c r="T28" s="14" t="n">
        <v>947</v>
      </c>
      <c r="U28" s="14" t="n">
        <v>522.1</v>
      </c>
      <c r="V28" s="14" t="n">
        <v>27.54</v>
      </c>
      <c r="W28" s="14" t="n">
        <v>25.35</v>
      </c>
      <c r="X28" s="14" t="n">
        <v>8</v>
      </c>
      <c r="Y28" s="14" t="n">
        <v>2</v>
      </c>
      <c r="Z28" s="14" t="n">
        <v>13</v>
      </c>
      <c r="AA28" s="14" t="n">
        <v>25</v>
      </c>
      <c r="AB28" s="14" t="s">
        <v>177</v>
      </c>
      <c r="AC28" s="14" t="s">
        <v>175</v>
      </c>
      <c r="AD28" s="14" t="n">
        <v>6</v>
      </c>
      <c r="AE28" s="14" t="n">
        <v>6</v>
      </c>
    </row>
    <row r="29" customFormat="false" ht="15" hidden="false" customHeight="false" outlineLevel="0" collapsed="false">
      <c r="A29" s="2" t="n">
        <v>28</v>
      </c>
      <c r="B29" s="2" t="s">
        <v>9</v>
      </c>
      <c r="C29" s="2" t="s">
        <v>39</v>
      </c>
      <c r="D29" s="2" t="s">
        <v>32</v>
      </c>
      <c r="E29" s="11" t="s">
        <v>43</v>
      </c>
      <c r="F29" s="11" t="s">
        <v>41</v>
      </c>
      <c r="G29" s="2" t="n">
        <v>0</v>
      </c>
      <c r="H29" s="2" t="n">
        <v>0</v>
      </c>
      <c r="I29" s="12" t="n">
        <v>0</v>
      </c>
      <c r="J29" s="13" t="n">
        <v>59</v>
      </c>
      <c r="K29" s="13" t="n">
        <v>342.92</v>
      </c>
      <c r="L29" s="13" t="n">
        <v>-1.96</v>
      </c>
      <c r="M29" s="13" t="n">
        <v>2</v>
      </c>
      <c r="N29" s="13" t="n">
        <v>-1</v>
      </c>
      <c r="O29" s="13" t="n">
        <v>0</v>
      </c>
      <c r="P29" s="13" t="n">
        <v>2</v>
      </c>
      <c r="Q29" s="13" t="n">
        <v>0</v>
      </c>
      <c r="R29" s="14" t="n">
        <v>23</v>
      </c>
      <c r="S29" s="14" t="n">
        <v>82</v>
      </c>
      <c r="T29" s="14" t="n">
        <v>368.7</v>
      </c>
      <c r="U29" s="14" t="n">
        <v>25.78</v>
      </c>
      <c r="V29" s="14" t="n">
        <v>25.58</v>
      </c>
      <c r="W29" s="14" t="n">
        <v>27.54</v>
      </c>
      <c r="X29" s="14" t="n">
        <v>3</v>
      </c>
      <c r="Y29" s="14" t="n">
        <v>1</v>
      </c>
      <c r="Z29" s="14" t="n">
        <v>9</v>
      </c>
      <c r="AA29" s="14" t="n">
        <v>10</v>
      </c>
      <c r="AB29" s="14" t="s">
        <v>178</v>
      </c>
      <c r="AC29" s="14" t="s">
        <v>174</v>
      </c>
      <c r="AD29" s="14" t="n">
        <v>6</v>
      </c>
      <c r="AE29" s="14" t="n">
        <v>6</v>
      </c>
    </row>
    <row r="30" customFormat="false" ht="15" hidden="false" customHeight="false" outlineLevel="0" collapsed="false">
      <c r="A30" s="2" t="n">
        <v>29</v>
      </c>
      <c r="B30" s="2" t="s">
        <v>9</v>
      </c>
      <c r="C30" s="2" t="s">
        <v>39</v>
      </c>
      <c r="D30" s="2" t="s">
        <v>38</v>
      </c>
      <c r="E30" s="11" t="s">
        <v>41</v>
      </c>
      <c r="F30" s="11" t="s">
        <v>42</v>
      </c>
      <c r="G30" s="2" t="n">
        <v>0</v>
      </c>
      <c r="H30" s="2" t="n">
        <v>2</v>
      </c>
      <c r="I30" s="12" t="n">
        <v>-2</v>
      </c>
      <c r="J30" s="13" t="n">
        <v>-49</v>
      </c>
      <c r="K30" s="13" t="n">
        <v>-496.32</v>
      </c>
      <c r="L30" s="13" t="n">
        <v>2.19</v>
      </c>
      <c r="M30" s="13" t="n">
        <v>-1</v>
      </c>
      <c r="N30" s="13" t="n">
        <v>-15</v>
      </c>
      <c r="O30" s="13" t="n">
        <v>0</v>
      </c>
      <c r="P30" s="13" t="n">
        <v>-1</v>
      </c>
      <c r="Q30" s="13" t="n">
        <v>0</v>
      </c>
      <c r="R30" s="14" t="n">
        <v>82</v>
      </c>
      <c r="S30" s="14" t="n">
        <v>33</v>
      </c>
      <c r="T30" s="14" t="n">
        <v>25.78</v>
      </c>
      <c r="U30" s="14" t="n">
        <v>522.1</v>
      </c>
      <c r="V30" s="14" t="n">
        <v>27.54</v>
      </c>
      <c r="W30" s="14" t="n">
        <v>25.35</v>
      </c>
      <c r="X30" s="14" t="n">
        <v>1</v>
      </c>
      <c r="Y30" s="14" t="n">
        <v>2</v>
      </c>
      <c r="Z30" s="14" t="n">
        <v>10</v>
      </c>
      <c r="AA30" s="14" t="n">
        <v>25</v>
      </c>
      <c r="AB30" s="14" t="s">
        <v>174</v>
      </c>
      <c r="AC30" s="14" t="s">
        <v>175</v>
      </c>
      <c r="AD30" s="14" t="n">
        <v>5</v>
      </c>
      <c r="AE30" s="14" t="n">
        <v>5</v>
      </c>
    </row>
    <row r="31" customFormat="false" ht="15" hidden="false" customHeight="false" outlineLevel="0" collapsed="false">
      <c r="A31" s="2" t="n">
        <v>30</v>
      </c>
      <c r="B31" s="2" t="s">
        <v>9</v>
      </c>
      <c r="C31" s="2" t="s">
        <v>39</v>
      </c>
      <c r="D31" s="2" t="s">
        <v>38</v>
      </c>
      <c r="E31" s="11" t="s">
        <v>43</v>
      </c>
      <c r="F31" s="11" t="s">
        <v>40</v>
      </c>
      <c r="G31" s="2" t="n">
        <v>2</v>
      </c>
      <c r="H31" s="2" t="n">
        <v>1</v>
      </c>
      <c r="I31" s="12" t="n">
        <v>1</v>
      </c>
      <c r="J31" s="13" t="n">
        <v>-13</v>
      </c>
      <c r="K31" s="13" t="n">
        <v>-578.3</v>
      </c>
      <c r="L31" s="13" t="n">
        <v>-1.96</v>
      </c>
      <c r="M31" s="13" t="n">
        <v>-5</v>
      </c>
      <c r="N31" s="13" t="n">
        <v>-4</v>
      </c>
      <c r="O31" s="13" t="n">
        <v>0</v>
      </c>
      <c r="P31" s="13" t="n">
        <v>-1</v>
      </c>
      <c r="Q31" s="13" t="n">
        <v>0</v>
      </c>
      <c r="R31" s="14" t="n">
        <v>23</v>
      </c>
      <c r="S31" s="14" t="n">
        <v>10</v>
      </c>
      <c r="T31" s="14" t="n">
        <v>368.7</v>
      </c>
      <c r="U31" s="14" t="n">
        <v>947</v>
      </c>
      <c r="V31" s="14" t="n">
        <v>25.58</v>
      </c>
      <c r="W31" s="14" t="n">
        <v>27.54</v>
      </c>
      <c r="X31" s="14" t="n">
        <v>3</v>
      </c>
      <c r="Y31" s="14" t="n">
        <v>8</v>
      </c>
      <c r="Z31" s="14" t="n">
        <v>9</v>
      </c>
      <c r="AA31" s="14" t="n">
        <v>13</v>
      </c>
      <c r="AB31" s="14" t="s">
        <v>178</v>
      </c>
      <c r="AC31" s="14" t="s">
        <v>177</v>
      </c>
      <c r="AD31" s="14" t="n">
        <v>5</v>
      </c>
      <c r="AE31" s="14" t="n">
        <v>5</v>
      </c>
    </row>
    <row r="32" customFormat="false" ht="15" hidden="false" customHeight="false" outlineLevel="0" collapsed="false">
      <c r="A32" s="2" t="n">
        <v>31</v>
      </c>
      <c r="B32" s="2" t="s">
        <v>9</v>
      </c>
      <c r="C32" s="2" t="s">
        <v>44</v>
      </c>
      <c r="D32" s="2" t="s">
        <v>29</v>
      </c>
      <c r="E32" s="11" t="s">
        <v>45</v>
      </c>
      <c r="F32" s="11" t="s">
        <v>46</v>
      </c>
      <c r="G32" s="2" t="n">
        <v>2</v>
      </c>
      <c r="H32" s="2" t="n">
        <v>2</v>
      </c>
      <c r="I32" s="12" t="n">
        <v>0</v>
      </c>
      <c r="J32" s="13" t="n">
        <v>10</v>
      </c>
      <c r="K32" s="13" t="n">
        <v>483.35</v>
      </c>
      <c r="L32" s="13" t="n">
        <v>0.08</v>
      </c>
      <c r="M32" s="13" t="n">
        <v>4</v>
      </c>
      <c r="N32" s="13" t="n">
        <v>-4</v>
      </c>
      <c r="O32" s="13" t="n">
        <v>0</v>
      </c>
      <c r="P32" s="13" t="n">
        <v>4</v>
      </c>
      <c r="Q32" s="13" t="n">
        <v>0</v>
      </c>
      <c r="R32" s="14" t="n">
        <v>8</v>
      </c>
      <c r="S32" s="14" t="n">
        <v>18</v>
      </c>
      <c r="T32" s="14" t="n">
        <v>754.2</v>
      </c>
      <c r="U32" s="14" t="n">
        <v>270.85</v>
      </c>
      <c r="V32" s="14" t="n">
        <v>27.27</v>
      </c>
      <c r="W32" s="14" t="n">
        <v>27.19</v>
      </c>
      <c r="X32" s="14" t="n">
        <v>7</v>
      </c>
      <c r="Y32" s="14" t="n">
        <v>3</v>
      </c>
      <c r="Z32" s="14" t="n">
        <v>23</v>
      </c>
      <c r="AA32" s="14" t="n">
        <v>27</v>
      </c>
      <c r="AB32" s="14" t="s">
        <v>177</v>
      </c>
      <c r="AC32" s="14" t="s">
        <v>176</v>
      </c>
      <c r="AD32" s="14" t="n">
        <v>14</v>
      </c>
      <c r="AE32" s="14" t="n">
        <v>14</v>
      </c>
    </row>
    <row r="33" customFormat="false" ht="15" hidden="false" customHeight="false" outlineLevel="0" collapsed="false">
      <c r="A33" s="2" t="n">
        <v>32</v>
      </c>
      <c r="B33" s="2" t="s">
        <v>9</v>
      </c>
      <c r="C33" s="2" t="s">
        <v>44</v>
      </c>
      <c r="D33" s="2" t="s">
        <v>47</v>
      </c>
      <c r="E33" s="11" t="s">
        <v>48</v>
      </c>
      <c r="F33" s="11" t="s">
        <v>49</v>
      </c>
      <c r="G33" s="2" t="n">
        <v>5</v>
      </c>
      <c r="H33" s="2" t="n">
        <v>1</v>
      </c>
      <c r="I33" s="12" t="n">
        <v>4</v>
      </c>
      <c r="J33" s="13" t="n">
        <v>7</v>
      </c>
      <c r="K33" s="13" t="n">
        <v>336.13</v>
      </c>
      <c r="L33" s="13" t="n">
        <v>0.85</v>
      </c>
      <c r="M33" s="13" t="n">
        <v>5</v>
      </c>
      <c r="N33" s="13" t="n">
        <v>-27</v>
      </c>
      <c r="O33" s="13" t="n">
        <v>0</v>
      </c>
      <c r="P33" s="13" t="n">
        <v>2</v>
      </c>
      <c r="Q33" s="13" t="n">
        <v>0</v>
      </c>
      <c r="R33" s="14" t="n">
        <v>38</v>
      </c>
      <c r="S33" s="14" t="n">
        <v>45</v>
      </c>
      <c r="T33" s="14" t="n">
        <v>406.08</v>
      </c>
      <c r="U33" s="14" t="n">
        <v>69.95</v>
      </c>
      <c r="V33" s="14" t="n">
        <v>27</v>
      </c>
      <c r="W33" s="14" t="n">
        <v>26.15</v>
      </c>
      <c r="X33" s="14" t="n">
        <v>7</v>
      </c>
      <c r="Y33" s="14" t="n">
        <v>2</v>
      </c>
      <c r="Z33" s="14" t="n">
        <v>-5</v>
      </c>
      <c r="AA33" s="14" t="n">
        <v>22</v>
      </c>
      <c r="AB33" s="14" t="s">
        <v>177</v>
      </c>
      <c r="AC33" s="14" t="s">
        <v>175</v>
      </c>
      <c r="AD33" s="14" t="n">
        <v>14</v>
      </c>
      <c r="AE33" s="14" t="n">
        <v>14</v>
      </c>
    </row>
    <row r="34" customFormat="false" ht="15" hidden="false" customHeight="false" outlineLevel="0" collapsed="false">
      <c r="A34" s="2" t="n">
        <v>33</v>
      </c>
      <c r="B34" s="2" t="s">
        <v>9</v>
      </c>
      <c r="C34" s="2" t="s">
        <v>44</v>
      </c>
      <c r="D34" s="2" t="s">
        <v>32</v>
      </c>
      <c r="E34" s="11" t="s">
        <v>45</v>
      </c>
      <c r="F34" s="11" t="s">
        <v>48</v>
      </c>
      <c r="G34" s="2" t="n">
        <v>5</v>
      </c>
      <c r="H34" s="2" t="n">
        <v>1</v>
      </c>
      <c r="I34" s="12" t="n">
        <v>4</v>
      </c>
      <c r="J34" s="13" t="n">
        <v>30</v>
      </c>
      <c r="K34" s="13" t="n">
        <v>348.12</v>
      </c>
      <c r="L34" s="13" t="n">
        <v>0.27</v>
      </c>
      <c r="M34" s="13" t="n">
        <v>0</v>
      </c>
      <c r="N34" s="13" t="n">
        <v>28</v>
      </c>
      <c r="O34" s="13" t="n">
        <v>0</v>
      </c>
      <c r="P34" s="13" t="n">
        <v>0</v>
      </c>
      <c r="Q34" s="13" t="n">
        <v>1</v>
      </c>
      <c r="R34" s="14" t="n">
        <v>8</v>
      </c>
      <c r="S34" s="14" t="n">
        <v>38</v>
      </c>
      <c r="T34" s="14" t="n">
        <v>754.2</v>
      </c>
      <c r="U34" s="14" t="n">
        <v>406.08</v>
      </c>
      <c r="V34" s="14" t="n">
        <v>27.27</v>
      </c>
      <c r="W34" s="14" t="n">
        <v>27</v>
      </c>
      <c r="X34" s="14" t="n">
        <v>7</v>
      </c>
      <c r="Y34" s="14" t="n">
        <v>7</v>
      </c>
      <c r="Z34" s="14" t="n">
        <v>23</v>
      </c>
      <c r="AA34" s="14" t="n">
        <v>-5</v>
      </c>
      <c r="AB34" s="14" t="s">
        <v>177</v>
      </c>
      <c r="AC34" s="14" t="s">
        <v>177</v>
      </c>
      <c r="AD34" s="14" t="n">
        <v>6</v>
      </c>
      <c r="AE34" s="14" t="n">
        <v>5</v>
      </c>
    </row>
    <row r="35" customFormat="false" ht="15" hidden="false" customHeight="false" outlineLevel="0" collapsed="false">
      <c r="A35" s="2" t="n">
        <v>34</v>
      </c>
      <c r="B35" s="2" t="s">
        <v>9</v>
      </c>
      <c r="C35" s="2" t="s">
        <v>44</v>
      </c>
      <c r="D35" s="2" t="s">
        <v>50</v>
      </c>
      <c r="E35" s="11" t="s">
        <v>49</v>
      </c>
      <c r="F35" s="11" t="s">
        <v>46</v>
      </c>
      <c r="G35" s="2" t="n">
        <v>0</v>
      </c>
      <c r="H35" s="2" t="n">
        <v>4</v>
      </c>
      <c r="I35" s="12" t="n">
        <v>-4</v>
      </c>
      <c r="J35" s="13" t="n">
        <v>-27</v>
      </c>
      <c r="K35" s="13" t="n">
        <v>-200.9</v>
      </c>
      <c r="L35" s="13" t="n">
        <v>-1.04</v>
      </c>
      <c r="M35" s="13" t="n">
        <v>-1</v>
      </c>
      <c r="N35" s="13" t="n">
        <v>-5</v>
      </c>
      <c r="O35" s="13" t="n">
        <v>0</v>
      </c>
      <c r="P35" s="13" t="n">
        <v>2</v>
      </c>
      <c r="Q35" s="13" t="n">
        <v>-1</v>
      </c>
      <c r="R35" s="14" t="n">
        <v>45</v>
      </c>
      <c r="S35" s="14" t="n">
        <v>18</v>
      </c>
      <c r="T35" s="14" t="n">
        <v>69.95</v>
      </c>
      <c r="U35" s="14" t="n">
        <v>270.85</v>
      </c>
      <c r="V35" s="14" t="n">
        <v>26.15</v>
      </c>
      <c r="W35" s="14" t="n">
        <v>27.19</v>
      </c>
      <c r="X35" s="14" t="n">
        <v>2</v>
      </c>
      <c r="Y35" s="14" t="n">
        <v>3</v>
      </c>
      <c r="Z35" s="14" t="n">
        <v>22</v>
      </c>
      <c r="AA35" s="14" t="n">
        <v>27</v>
      </c>
      <c r="AB35" s="14" t="s">
        <v>175</v>
      </c>
      <c r="AC35" s="14" t="s">
        <v>176</v>
      </c>
      <c r="AD35" s="14" t="n">
        <v>6</v>
      </c>
      <c r="AE35" s="14" t="n">
        <v>7</v>
      </c>
    </row>
    <row r="36" customFormat="false" ht="15" hidden="false" customHeight="false" outlineLevel="0" collapsed="false">
      <c r="A36" s="2" t="n">
        <v>35</v>
      </c>
      <c r="B36" s="2" t="s">
        <v>9</v>
      </c>
      <c r="C36" s="2" t="s">
        <v>44</v>
      </c>
      <c r="D36" s="2" t="s">
        <v>38</v>
      </c>
      <c r="E36" s="11" t="s">
        <v>46</v>
      </c>
      <c r="F36" s="11" t="s">
        <v>48</v>
      </c>
      <c r="G36" s="2" t="n">
        <v>1</v>
      </c>
      <c r="H36" s="2" t="n">
        <v>1</v>
      </c>
      <c r="I36" s="12" t="n">
        <v>0</v>
      </c>
      <c r="J36" s="13" t="n">
        <v>20</v>
      </c>
      <c r="K36" s="13" t="n">
        <v>-135.23</v>
      </c>
      <c r="L36" s="13" t="n">
        <v>0.19</v>
      </c>
      <c r="M36" s="13" t="n">
        <v>-4</v>
      </c>
      <c r="N36" s="13" t="n">
        <v>32</v>
      </c>
      <c r="O36" s="13" t="n">
        <v>0</v>
      </c>
      <c r="P36" s="13" t="n">
        <v>-4</v>
      </c>
      <c r="Q36" s="13" t="n">
        <v>-1</v>
      </c>
      <c r="R36" s="14" t="n">
        <v>18</v>
      </c>
      <c r="S36" s="14" t="n">
        <v>38</v>
      </c>
      <c r="T36" s="14" t="n">
        <v>270.85</v>
      </c>
      <c r="U36" s="14" t="n">
        <v>406.08</v>
      </c>
      <c r="V36" s="14" t="n">
        <v>27.19</v>
      </c>
      <c r="W36" s="14" t="n">
        <v>27</v>
      </c>
      <c r="X36" s="14" t="n">
        <v>3</v>
      </c>
      <c r="Y36" s="14" t="n">
        <v>7</v>
      </c>
      <c r="Z36" s="14" t="n">
        <v>27</v>
      </c>
      <c r="AA36" s="14" t="n">
        <v>-5</v>
      </c>
      <c r="AB36" s="14" t="s">
        <v>176</v>
      </c>
      <c r="AC36" s="14" t="s">
        <v>177</v>
      </c>
      <c r="AD36" s="14" t="n">
        <v>4</v>
      </c>
      <c r="AE36" s="14" t="n">
        <v>5</v>
      </c>
    </row>
    <row r="37" customFormat="false" ht="15" hidden="false" customHeight="false" outlineLevel="0" collapsed="false">
      <c r="A37" s="2" t="n">
        <v>36</v>
      </c>
      <c r="B37" s="2" t="s">
        <v>9</v>
      </c>
      <c r="C37" s="2" t="s">
        <v>44</v>
      </c>
      <c r="D37" s="2" t="s">
        <v>38</v>
      </c>
      <c r="E37" s="11" t="s">
        <v>49</v>
      </c>
      <c r="F37" s="11" t="s">
        <v>45</v>
      </c>
      <c r="G37" s="2" t="n">
        <v>1</v>
      </c>
      <c r="H37" s="2" t="n">
        <v>3</v>
      </c>
      <c r="I37" s="12" t="n">
        <v>-2</v>
      </c>
      <c r="J37" s="13" t="n">
        <v>-37</v>
      </c>
      <c r="K37" s="13" t="n">
        <v>-684.25</v>
      </c>
      <c r="L37" s="13" t="n">
        <v>-1.12</v>
      </c>
      <c r="M37" s="13" t="n">
        <v>-5</v>
      </c>
      <c r="N37" s="13" t="n">
        <v>-1</v>
      </c>
      <c r="O37" s="13" t="n">
        <v>0</v>
      </c>
      <c r="P37" s="13" t="n">
        <v>-2</v>
      </c>
      <c r="Q37" s="13" t="n">
        <v>-1</v>
      </c>
      <c r="R37" s="14" t="n">
        <v>45</v>
      </c>
      <c r="S37" s="14" t="n">
        <v>8</v>
      </c>
      <c r="T37" s="14" t="n">
        <v>69.95</v>
      </c>
      <c r="U37" s="14" t="n">
        <v>754.2</v>
      </c>
      <c r="V37" s="14" t="n">
        <v>26.15</v>
      </c>
      <c r="W37" s="14" t="n">
        <v>27.27</v>
      </c>
      <c r="X37" s="14" t="n">
        <v>2</v>
      </c>
      <c r="Y37" s="14" t="n">
        <v>7</v>
      </c>
      <c r="Z37" s="14" t="n">
        <v>22</v>
      </c>
      <c r="AA37" s="14" t="n">
        <v>23</v>
      </c>
      <c r="AB37" s="14" t="s">
        <v>175</v>
      </c>
      <c r="AC37" s="14" t="s">
        <v>177</v>
      </c>
      <c r="AD37" s="14" t="n">
        <v>4</v>
      </c>
      <c r="AE37" s="14" t="n">
        <v>5</v>
      </c>
    </row>
    <row r="38" customFormat="false" ht="15" hidden="false" customHeight="false" outlineLevel="0" collapsed="false">
      <c r="A38" s="2" t="n">
        <v>37</v>
      </c>
      <c r="B38" s="2" t="s">
        <v>9</v>
      </c>
      <c r="C38" s="2" t="s">
        <v>51</v>
      </c>
      <c r="D38" s="2" t="s">
        <v>47</v>
      </c>
      <c r="E38" s="11" t="s">
        <v>52</v>
      </c>
      <c r="F38" s="11" t="s">
        <v>53</v>
      </c>
      <c r="G38" s="2" t="n">
        <v>1</v>
      </c>
      <c r="H38" s="2" t="n">
        <v>1</v>
      </c>
      <c r="I38" s="12" t="n">
        <v>0</v>
      </c>
      <c r="J38" s="13" t="n">
        <v>20</v>
      </c>
      <c r="K38" s="13" t="n">
        <v>431.02</v>
      </c>
      <c r="L38" s="13" t="n">
        <v>-1.57</v>
      </c>
      <c r="M38" s="13" t="n">
        <v>4</v>
      </c>
      <c r="N38" s="13" t="n">
        <v>4</v>
      </c>
      <c r="O38" s="13" t="n">
        <v>0</v>
      </c>
      <c r="P38" s="13" t="n">
        <v>2</v>
      </c>
      <c r="Q38" s="13" t="n">
        <v>0</v>
      </c>
      <c r="R38" s="14" t="n">
        <v>9</v>
      </c>
      <c r="S38" s="14" t="n">
        <v>29</v>
      </c>
      <c r="T38" s="14" t="n">
        <v>547.5</v>
      </c>
      <c r="U38" s="14" t="n">
        <v>116.48</v>
      </c>
      <c r="V38" s="14" t="n">
        <v>27.12</v>
      </c>
      <c r="W38" s="14" t="n">
        <v>28.69</v>
      </c>
      <c r="X38" s="14" t="n">
        <v>6</v>
      </c>
      <c r="Y38" s="14" t="n">
        <v>2</v>
      </c>
      <c r="Z38" s="14" t="n">
        <v>22</v>
      </c>
      <c r="AA38" s="14" t="n">
        <v>18</v>
      </c>
      <c r="AB38" s="14" t="s">
        <v>177</v>
      </c>
      <c r="AC38" s="14" t="s">
        <v>175</v>
      </c>
      <c r="AD38" s="14" t="n">
        <v>14</v>
      </c>
      <c r="AE38" s="14" t="n">
        <v>14</v>
      </c>
    </row>
    <row r="39" customFormat="false" ht="15" hidden="false" customHeight="false" outlineLevel="0" collapsed="false">
      <c r="A39" s="2" t="n">
        <v>38</v>
      </c>
      <c r="B39" s="2" t="s">
        <v>9</v>
      </c>
      <c r="C39" s="2" t="s">
        <v>51</v>
      </c>
      <c r="D39" s="2" t="s">
        <v>47</v>
      </c>
      <c r="E39" s="11" t="s">
        <v>54</v>
      </c>
      <c r="F39" s="11" t="s">
        <v>55</v>
      </c>
      <c r="G39" s="2" t="n">
        <v>2</v>
      </c>
      <c r="H39" s="2" t="n">
        <v>2</v>
      </c>
      <c r="I39" s="12" t="n">
        <v>0</v>
      </c>
      <c r="J39" s="13" t="n">
        <v>65</v>
      </c>
      <c r="K39" s="13" t="n">
        <v>-2.4</v>
      </c>
      <c r="L39" s="13" t="n">
        <v>2.19</v>
      </c>
      <c r="M39" s="13" t="n">
        <v>0</v>
      </c>
      <c r="N39" s="13" t="n">
        <v>-7</v>
      </c>
      <c r="O39" s="13" t="n">
        <v>0</v>
      </c>
      <c r="P39" s="13" t="n">
        <v>1</v>
      </c>
      <c r="Q39" s="13" t="n">
        <v>0</v>
      </c>
      <c r="R39" s="14" t="n">
        <v>20</v>
      </c>
      <c r="S39" s="14" t="n">
        <v>85</v>
      </c>
      <c r="T39" s="14" t="n">
        <v>32.05</v>
      </c>
      <c r="U39" s="14" t="n">
        <v>34.45</v>
      </c>
      <c r="V39" s="14" t="n">
        <v>29.81</v>
      </c>
      <c r="W39" s="14" t="n">
        <v>27.62</v>
      </c>
      <c r="X39" s="14" t="n">
        <v>2</v>
      </c>
      <c r="Y39" s="14" t="n">
        <v>2</v>
      </c>
      <c r="Z39" s="14" t="n">
        <v>11</v>
      </c>
      <c r="AA39" s="14" t="n">
        <v>18</v>
      </c>
      <c r="AB39" s="14" t="s">
        <v>176</v>
      </c>
      <c r="AC39" s="14" t="s">
        <v>179</v>
      </c>
      <c r="AD39" s="14" t="n">
        <v>14</v>
      </c>
      <c r="AE39" s="14" t="n">
        <v>14</v>
      </c>
    </row>
    <row r="40" customFormat="false" ht="15" hidden="false" customHeight="false" outlineLevel="0" collapsed="false">
      <c r="A40" s="2" t="n">
        <v>39</v>
      </c>
      <c r="B40" s="2" t="s">
        <v>9</v>
      </c>
      <c r="C40" s="2" t="s">
        <v>51</v>
      </c>
      <c r="D40" s="2" t="s">
        <v>50</v>
      </c>
      <c r="E40" s="11" t="s">
        <v>52</v>
      </c>
      <c r="F40" s="11" t="s">
        <v>54</v>
      </c>
      <c r="G40" s="2" t="n">
        <v>0</v>
      </c>
      <c r="H40" s="2" t="n">
        <v>0</v>
      </c>
      <c r="I40" s="12" t="n">
        <v>0</v>
      </c>
      <c r="J40" s="13" t="n">
        <v>11</v>
      </c>
      <c r="K40" s="13" t="n">
        <v>515.45</v>
      </c>
      <c r="L40" s="13" t="n">
        <v>-2.69</v>
      </c>
      <c r="M40" s="13" t="n">
        <v>4</v>
      </c>
      <c r="N40" s="13" t="n">
        <v>11</v>
      </c>
      <c r="O40" s="13" t="n">
        <v>0</v>
      </c>
      <c r="P40" s="13" t="n">
        <v>4</v>
      </c>
      <c r="Q40" s="13" t="n">
        <v>0</v>
      </c>
      <c r="R40" s="14" t="n">
        <v>9</v>
      </c>
      <c r="S40" s="14" t="n">
        <v>20</v>
      </c>
      <c r="T40" s="14" t="n">
        <v>547.5</v>
      </c>
      <c r="U40" s="14" t="n">
        <v>32.05</v>
      </c>
      <c r="V40" s="14" t="n">
        <v>27.12</v>
      </c>
      <c r="W40" s="14" t="n">
        <v>29.81</v>
      </c>
      <c r="X40" s="14" t="n">
        <v>6</v>
      </c>
      <c r="Y40" s="14" t="n">
        <v>2</v>
      </c>
      <c r="Z40" s="14" t="n">
        <v>22</v>
      </c>
      <c r="AA40" s="14" t="n">
        <v>11</v>
      </c>
      <c r="AB40" s="14" t="s">
        <v>177</v>
      </c>
      <c r="AC40" s="14" t="s">
        <v>176</v>
      </c>
      <c r="AD40" s="14" t="n">
        <v>6</v>
      </c>
      <c r="AE40" s="14" t="n">
        <v>6</v>
      </c>
    </row>
    <row r="41" customFormat="false" ht="15" hidden="false" customHeight="false" outlineLevel="0" collapsed="false">
      <c r="A41" s="2" t="n">
        <v>40</v>
      </c>
      <c r="B41" s="2" t="s">
        <v>9</v>
      </c>
      <c r="C41" s="2" t="s">
        <v>51</v>
      </c>
      <c r="D41" s="2" t="s">
        <v>56</v>
      </c>
      <c r="E41" s="11" t="s">
        <v>55</v>
      </c>
      <c r="F41" s="11" t="s">
        <v>53</v>
      </c>
      <c r="G41" s="2" t="n">
        <v>1</v>
      </c>
      <c r="H41" s="2" t="n">
        <v>3</v>
      </c>
      <c r="I41" s="12" t="n">
        <v>-2</v>
      </c>
      <c r="J41" s="13" t="n">
        <v>-56</v>
      </c>
      <c r="K41" s="13" t="n">
        <v>-82.03</v>
      </c>
      <c r="L41" s="13" t="n">
        <v>-1.07</v>
      </c>
      <c r="M41" s="13" t="n">
        <v>0</v>
      </c>
      <c r="N41" s="13" t="n">
        <v>0</v>
      </c>
      <c r="O41" s="13" t="n">
        <v>0</v>
      </c>
      <c r="P41" s="13" t="n">
        <v>-3</v>
      </c>
      <c r="Q41" s="13" t="n">
        <v>0</v>
      </c>
      <c r="R41" s="14" t="n">
        <v>85</v>
      </c>
      <c r="S41" s="14" t="n">
        <v>29</v>
      </c>
      <c r="T41" s="14" t="n">
        <v>34.45</v>
      </c>
      <c r="U41" s="14" t="n">
        <v>116.48</v>
      </c>
      <c r="V41" s="14" t="n">
        <v>27.62</v>
      </c>
      <c r="W41" s="14" t="n">
        <v>28.69</v>
      </c>
      <c r="X41" s="14" t="n">
        <v>2</v>
      </c>
      <c r="Y41" s="14" t="n">
        <v>2</v>
      </c>
      <c r="Z41" s="14" t="n">
        <v>18</v>
      </c>
      <c r="AA41" s="14" t="n">
        <v>18</v>
      </c>
      <c r="AB41" s="14" t="s">
        <v>179</v>
      </c>
      <c r="AC41" s="14" t="s">
        <v>175</v>
      </c>
      <c r="AD41" s="14" t="n">
        <v>7</v>
      </c>
      <c r="AE41" s="14" t="n">
        <v>7</v>
      </c>
    </row>
    <row r="42" customFormat="false" ht="15" hidden="false" customHeight="false" outlineLevel="0" collapsed="false">
      <c r="A42" s="2" t="n">
        <v>41</v>
      </c>
      <c r="B42" s="2" t="s">
        <v>9</v>
      </c>
      <c r="C42" s="2" t="s">
        <v>51</v>
      </c>
      <c r="D42" s="2" t="s">
        <v>57</v>
      </c>
      <c r="E42" s="11" t="s">
        <v>53</v>
      </c>
      <c r="F42" s="11" t="s">
        <v>54</v>
      </c>
      <c r="G42" s="2" t="n">
        <v>1</v>
      </c>
      <c r="H42" s="2" t="n">
        <v>1</v>
      </c>
      <c r="I42" s="12" t="n">
        <v>0</v>
      </c>
      <c r="J42" s="13" t="n">
        <v>-9</v>
      </c>
      <c r="K42" s="13" t="n">
        <v>84.43</v>
      </c>
      <c r="L42" s="13" t="n">
        <v>-1.12</v>
      </c>
      <c r="M42" s="13" t="n">
        <v>0</v>
      </c>
      <c r="N42" s="13" t="n">
        <v>7</v>
      </c>
      <c r="O42" s="13" t="n">
        <v>0</v>
      </c>
      <c r="P42" s="13" t="n">
        <v>2</v>
      </c>
      <c r="Q42" s="13" t="n">
        <v>-1</v>
      </c>
      <c r="R42" s="14" t="n">
        <v>29</v>
      </c>
      <c r="S42" s="14" t="n">
        <v>20</v>
      </c>
      <c r="T42" s="14" t="n">
        <v>116.48</v>
      </c>
      <c r="U42" s="14" t="n">
        <v>32.05</v>
      </c>
      <c r="V42" s="14" t="n">
        <v>28.69</v>
      </c>
      <c r="W42" s="14" t="n">
        <v>29.81</v>
      </c>
      <c r="X42" s="14" t="n">
        <v>2</v>
      </c>
      <c r="Y42" s="14" t="n">
        <v>2</v>
      </c>
      <c r="Z42" s="14" t="n">
        <v>18</v>
      </c>
      <c r="AA42" s="14" t="n">
        <v>11</v>
      </c>
      <c r="AB42" s="14" t="s">
        <v>175</v>
      </c>
      <c r="AC42" s="14" t="s">
        <v>176</v>
      </c>
      <c r="AD42" s="14" t="n">
        <v>4</v>
      </c>
      <c r="AE42" s="14" t="n">
        <v>5</v>
      </c>
    </row>
    <row r="43" customFormat="false" ht="15" hidden="false" customHeight="false" outlineLevel="0" collapsed="false">
      <c r="A43" s="2" t="n">
        <v>42</v>
      </c>
      <c r="B43" s="2" t="s">
        <v>9</v>
      </c>
      <c r="C43" s="2" t="s">
        <v>51</v>
      </c>
      <c r="D43" s="2" t="s">
        <v>57</v>
      </c>
      <c r="E43" s="11" t="s">
        <v>55</v>
      </c>
      <c r="F43" s="11" t="s">
        <v>52</v>
      </c>
      <c r="G43" s="2" t="n">
        <v>1</v>
      </c>
      <c r="H43" s="2" t="n">
        <v>5</v>
      </c>
      <c r="I43" s="12" t="n">
        <v>-4</v>
      </c>
      <c r="J43" s="13" t="n">
        <v>-76</v>
      </c>
      <c r="K43" s="13" t="n">
        <v>-513.05</v>
      </c>
      <c r="L43" s="13" t="n">
        <v>0.5</v>
      </c>
      <c r="M43" s="13" t="n">
        <v>-4</v>
      </c>
      <c r="N43" s="13" t="n">
        <v>-4</v>
      </c>
      <c r="O43" s="13" t="n">
        <v>0</v>
      </c>
      <c r="P43" s="13" t="n">
        <v>-5</v>
      </c>
      <c r="Q43" s="13" t="n">
        <v>-1</v>
      </c>
      <c r="R43" s="14" t="n">
        <v>85</v>
      </c>
      <c r="S43" s="14" t="n">
        <v>9</v>
      </c>
      <c r="T43" s="14" t="n">
        <v>34.45</v>
      </c>
      <c r="U43" s="14" t="n">
        <v>547.5</v>
      </c>
      <c r="V43" s="14" t="n">
        <v>27.62</v>
      </c>
      <c r="W43" s="14" t="n">
        <v>27.12</v>
      </c>
      <c r="X43" s="14" t="n">
        <v>2</v>
      </c>
      <c r="Y43" s="14" t="n">
        <v>6</v>
      </c>
      <c r="Z43" s="14" t="n">
        <v>18</v>
      </c>
      <c r="AA43" s="14" t="n">
        <v>22</v>
      </c>
      <c r="AB43" s="14" t="s">
        <v>179</v>
      </c>
      <c r="AC43" s="14" t="s">
        <v>177</v>
      </c>
      <c r="AD43" s="14" t="n">
        <v>4</v>
      </c>
      <c r="AE43" s="14" t="n">
        <v>5</v>
      </c>
    </row>
    <row r="44" customFormat="false" ht="15" hidden="false" customHeight="false" outlineLevel="0" collapsed="false">
      <c r="A44" s="2" t="n">
        <v>43</v>
      </c>
      <c r="B44" s="2" t="s">
        <v>9</v>
      </c>
      <c r="C44" s="2" t="s">
        <v>58</v>
      </c>
      <c r="D44" s="2" t="s">
        <v>47</v>
      </c>
      <c r="E44" s="11" t="s">
        <v>59</v>
      </c>
      <c r="F44" s="11" t="s">
        <v>60</v>
      </c>
      <c r="G44" s="2" t="n">
        <v>0</v>
      </c>
      <c r="H44" s="2" t="n">
        <v>0</v>
      </c>
      <c r="I44" s="12" t="n">
        <v>0</v>
      </c>
      <c r="J44" s="13" t="n">
        <v>65</v>
      </c>
      <c r="K44" s="13" t="n">
        <v>1170.75</v>
      </c>
      <c r="L44" s="13" t="n">
        <v>-3.04</v>
      </c>
      <c r="M44" s="13" t="n">
        <v>7</v>
      </c>
      <c r="N44" s="13" t="n">
        <v>11</v>
      </c>
      <c r="O44" s="13" t="n">
        <v>0</v>
      </c>
      <c r="P44" s="13" t="n">
        <v>2</v>
      </c>
      <c r="Q44" s="13" t="n">
        <v>0</v>
      </c>
      <c r="R44" s="14" t="n">
        <v>2</v>
      </c>
      <c r="S44" s="14" t="n">
        <v>67</v>
      </c>
      <c r="T44" s="14" t="n">
        <v>1220</v>
      </c>
      <c r="U44" s="14" t="n">
        <v>49.25</v>
      </c>
      <c r="V44" s="14" t="n">
        <v>26.19</v>
      </c>
      <c r="W44" s="14" t="n">
        <v>29.23</v>
      </c>
      <c r="X44" s="14" t="n">
        <v>8</v>
      </c>
      <c r="Y44" s="14" t="n">
        <v>1</v>
      </c>
      <c r="Z44" s="14" t="n">
        <v>19</v>
      </c>
      <c r="AA44" s="14" t="n">
        <v>8</v>
      </c>
      <c r="AB44" s="14" t="s">
        <v>177</v>
      </c>
      <c r="AC44" s="14" t="s">
        <v>175</v>
      </c>
      <c r="AD44" s="14" t="n">
        <v>14</v>
      </c>
      <c r="AE44" s="14" t="n">
        <v>14</v>
      </c>
    </row>
    <row r="45" customFormat="false" ht="15" hidden="false" customHeight="false" outlineLevel="0" collapsed="false">
      <c r="A45" s="2" t="n">
        <v>44</v>
      </c>
      <c r="B45" s="2" t="s">
        <v>9</v>
      </c>
      <c r="C45" s="2" t="s">
        <v>58</v>
      </c>
      <c r="D45" s="2" t="s">
        <v>47</v>
      </c>
      <c r="E45" s="11" t="s">
        <v>61</v>
      </c>
      <c r="F45" s="11" t="s">
        <v>62</v>
      </c>
      <c r="G45" s="2" t="n">
        <v>1</v>
      </c>
      <c r="H45" s="2" t="n">
        <v>1</v>
      </c>
      <c r="I45" s="12" t="n">
        <v>0</v>
      </c>
      <c r="J45" s="13" t="n">
        <v>-45</v>
      </c>
      <c r="K45" s="13" t="n">
        <v>-318.62</v>
      </c>
      <c r="L45" s="13" t="n">
        <v>-0.23</v>
      </c>
      <c r="M45" s="13" t="n">
        <v>-5</v>
      </c>
      <c r="N45" s="13" t="n">
        <v>-10</v>
      </c>
      <c r="O45" s="13" t="n">
        <v>0</v>
      </c>
      <c r="P45" s="13" t="n">
        <v>-3</v>
      </c>
      <c r="Q45" s="13" t="n">
        <v>0</v>
      </c>
      <c r="R45" s="14" t="n">
        <v>61</v>
      </c>
      <c r="S45" s="14" t="n">
        <v>16</v>
      </c>
      <c r="T45" s="14" t="n">
        <v>40.68</v>
      </c>
      <c r="U45" s="14" t="n">
        <v>359.3</v>
      </c>
      <c r="V45" s="14" t="n">
        <v>27.96</v>
      </c>
      <c r="W45" s="14" t="n">
        <v>28.19</v>
      </c>
      <c r="X45" s="14" t="n">
        <v>3</v>
      </c>
      <c r="Y45" s="14" t="n">
        <v>8</v>
      </c>
      <c r="Z45" s="14" t="n">
        <v>0</v>
      </c>
      <c r="AA45" s="14" t="n">
        <v>10</v>
      </c>
      <c r="AB45" s="14" t="s">
        <v>176</v>
      </c>
      <c r="AC45" s="14" t="s">
        <v>178</v>
      </c>
      <c r="AD45" s="14" t="n">
        <v>14</v>
      </c>
      <c r="AE45" s="14" t="n">
        <v>14</v>
      </c>
    </row>
    <row r="46" customFormat="false" ht="15" hidden="false" customHeight="false" outlineLevel="0" collapsed="false">
      <c r="A46" s="2" t="n">
        <v>45</v>
      </c>
      <c r="B46" s="2" t="s">
        <v>9</v>
      </c>
      <c r="C46" s="2" t="s">
        <v>58</v>
      </c>
      <c r="D46" s="2" t="s">
        <v>50</v>
      </c>
      <c r="E46" s="11" t="s">
        <v>59</v>
      </c>
      <c r="F46" s="11" t="s">
        <v>61</v>
      </c>
      <c r="G46" s="2" t="n">
        <v>4</v>
      </c>
      <c r="H46" s="2" t="n">
        <v>0</v>
      </c>
      <c r="I46" s="12" t="n">
        <v>4</v>
      </c>
      <c r="J46" s="13" t="n">
        <v>59</v>
      </c>
      <c r="K46" s="13" t="n">
        <v>1179.32</v>
      </c>
      <c r="L46" s="13" t="n">
        <v>-1.77</v>
      </c>
      <c r="M46" s="13" t="n">
        <v>5</v>
      </c>
      <c r="N46" s="13" t="n">
        <v>19</v>
      </c>
      <c r="O46" s="13" t="n">
        <v>0</v>
      </c>
      <c r="P46" s="13" t="n">
        <v>4</v>
      </c>
      <c r="Q46" s="13" t="n">
        <v>0</v>
      </c>
      <c r="R46" s="14" t="n">
        <v>2</v>
      </c>
      <c r="S46" s="14" t="n">
        <v>61</v>
      </c>
      <c r="T46" s="14" t="n">
        <v>1220</v>
      </c>
      <c r="U46" s="14" t="n">
        <v>40.68</v>
      </c>
      <c r="V46" s="14" t="n">
        <v>26.19</v>
      </c>
      <c r="W46" s="14" t="n">
        <v>27.96</v>
      </c>
      <c r="X46" s="14" t="n">
        <v>8</v>
      </c>
      <c r="Y46" s="14" t="n">
        <v>3</v>
      </c>
      <c r="Z46" s="14" t="n">
        <v>19</v>
      </c>
      <c r="AA46" s="14" t="n">
        <v>0</v>
      </c>
      <c r="AB46" s="14" t="s">
        <v>177</v>
      </c>
      <c r="AC46" s="14" t="s">
        <v>176</v>
      </c>
      <c r="AD46" s="14" t="n">
        <v>6</v>
      </c>
      <c r="AE46" s="14" t="n">
        <v>6</v>
      </c>
    </row>
    <row r="47" customFormat="false" ht="15" hidden="false" customHeight="false" outlineLevel="0" collapsed="false">
      <c r="A47" s="2" t="n">
        <v>46</v>
      </c>
      <c r="B47" s="2" t="s">
        <v>9</v>
      </c>
      <c r="C47" s="2" t="s">
        <v>58</v>
      </c>
      <c r="D47" s="2" t="s">
        <v>50</v>
      </c>
      <c r="E47" s="11" t="s">
        <v>62</v>
      </c>
      <c r="F47" s="11" t="s">
        <v>60</v>
      </c>
      <c r="G47" s="2" t="n">
        <v>2</v>
      </c>
      <c r="H47" s="2" t="n">
        <v>2</v>
      </c>
      <c r="I47" s="12" t="n">
        <v>0</v>
      </c>
      <c r="J47" s="13" t="n">
        <v>51</v>
      </c>
      <c r="K47" s="13" t="n">
        <v>310.05</v>
      </c>
      <c r="L47" s="13" t="n">
        <v>-1.04</v>
      </c>
      <c r="M47" s="13" t="n">
        <v>7</v>
      </c>
      <c r="N47" s="13" t="n">
        <v>2</v>
      </c>
      <c r="O47" s="13" t="n">
        <v>0</v>
      </c>
      <c r="P47" s="13" t="n">
        <v>1</v>
      </c>
      <c r="Q47" s="13" t="n">
        <v>0</v>
      </c>
      <c r="R47" s="14" t="n">
        <v>16</v>
      </c>
      <c r="S47" s="14" t="n">
        <v>67</v>
      </c>
      <c r="T47" s="14" t="n">
        <v>359.3</v>
      </c>
      <c r="U47" s="14" t="n">
        <v>49.25</v>
      </c>
      <c r="V47" s="14" t="n">
        <v>28.19</v>
      </c>
      <c r="W47" s="14" t="n">
        <v>29.23</v>
      </c>
      <c r="X47" s="14" t="n">
        <v>8</v>
      </c>
      <c r="Y47" s="14" t="n">
        <v>1</v>
      </c>
      <c r="Z47" s="14" t="n">
        <v>10</v>
      </c>
      <c r="AA47" s="14" t="n">
        <v>8</v>
      </c>
      <c r="AB47" s="14" t="s">
        <v>178</v>
      </c>
      <c r="AC47" s="14" t="s">
        <v>175</v>
      </c>
      <c r="AD47" s="14" t="n">
        <v>6</v>
      </c>
      <c r="AE47" s="14" t="n">
        <v>6</v>
      </c>
    </row>
    <row r="48" customFormat="false" ht="15" hidden="false" customHeight="false" outlineLevel="0" collapsed="false">
      <c r="A48" s="2" t="n">
        <v>47</v>
      </c>
      <c r="B48" s="2" t="s">
        <v>9</v>
      </c>
      <c r="C48" s="2" t="s">
        <v>58</v>
      </c>
      <c r="D48" s="2" t="s">
        <v>57</v>
      </c>
      <c r="E48" s="11" t="s">
        <v>60</v>
      </c>
      <c r="F48" s="11" t="s">
        <v>61</v>
      </c>
      <c r="G48" s="2" t="n">
        <v>0</v>
      </c>
      <c r="H48" s="2" t="n">
        <v>0</v>
      </c>
      <c r="I48" s="12" t="n">
        <v>0</v>
      </c>
      <c r="J48" s="13" t="n">
        <v>-6</v>
      </c>
      <c r="K48" s="13" t="n">
        <v>8.57</v>
      </c>
      <c r="L48" s="13" t="n">
        <v>1.27</v>
      </c>
      <c r="M48" s="13" t="n">
        <v>-2</v>
      </c>
      <c r="N48" s="13" t="n">
        <v>8</v>
      </c>
      <c r="O48" s="13" t="n">
        <v>0</v>
      </c>
      <c r="P48" s="13" t="n">
        <v>2</v>
      </c>
      <c r="Q48" s="13" t="n">
        <v>0</v>
      </c>
      <c r="R48" s="14" t="n">
        <v>67</v>
      </c>
      <c r="S48" s="14" t="n">
        <v>61</v>
      </c>
      <c r="T48" s="14" t="n">
        <v>49.25</v>
      </c>
      <c r="U48" s="14" t="n">
        <v>40.68</v>
      </c>
      <c r="V48" s="14" t="n">
        <v>29.23</v>
      </c>
      <c r="W48" s="14" t="n">
        <v>27.96</v>
      </c>
      <c r="X48" s="14" t="n">
        <v>1</v>
      </c>
      <c r="Y48" s="14" t="n">
        <v>3</v>
      </c>
      <c r="Z48" s="14" t="n">
        <v>8</v>
      </c>
      <c r="AA48" s="14" t="n">
        <v>0</v>
      </c>
      <c r="AB48" s="14" t="s">
        <v>175</v>
      </c>
      <c r="AC48" s="14" t="s">
        <v>176</v>
      </c>
      <c r="AD48" s="14" t="n">
        <v>5</v>
      </c>
      <c r="AE48" s="14" t="n">
        <v>5</v>
      </c>
    </row>
    <row r="49" customFormat="false" ht="15" hidden="false" customHeight="false" outlineLevel="0" collapsed="false">
      <c r="A49" s="2" t="n">
        <v>48</v>
      </c>
      <c r="B49" s="2" t="s">
        <v>9</v>
      </c>
      <c r="C49" s="2" t="s">
        <v>58</v>
      </c>
      <c r="D49" s="2" t="s">
        <v>57</v>
      </c>
      <c r="E49" s="11" t="s">
        <v>62</v>
      </c>
      <c r="F49" s="11" t="s">
        <v>59</v>
      </c>
      <c r="G49" s="2" t="n">
        <v>0</v>
      </c>
      <c r="H49" s="2" t="n">
        <v>1</v>
      </c>
      <c r="I49" s="12" t="n">
        <v>-1</v>
      </c>
      <c r="J49" s="13" t="n">
        <v>-14</v>
      </c>
      <c r="K49" s="13" t="n">
        <v>-860.7</v>
      </c>
      <c r="L49" s="13" t="n">
        <v>2</v>
      </c>
      <c r="M49" s="13" t="n">
        <v>0</v>
      </c>
      <c r="N49" s="13" t="n">
        <v>-9</v>
      </c>
      <c r="O49" s="13" t="n">
        <v>0</v>
      </c>
      <c r="P49" s="13" t="n">
        <v>-1</v>
      </c>
      <c r="Q49" s="13" t="n">
        <v>0</v>
      </c>
      <c r="R49" s="14" t="n">
        <v>16</v>
      </c>
      <c r="S49" s="14" t="n">
        <v>2</v>
      </c>
      <c r="T49" s="14" t="n">
        <v>359.3</v>
      </c>
      <c r="U49" s="14" t="n">
        <v>1220</v>
      </c>
      <c r="V49" s="14" t="n">
        <v>28.19</v>
      </c>
      <c r="W49" s="14" t="n">
        <v>26.19</v>
      </c>
      <c r="X49" s="14" t="n">
        <v>8</v>
      </c>
      <c r="Y49" s="14" t="n">
        <v>8</v>
      </c>
      <c r="Z49" s="14" t="n">
        <v>10</v>
      </c>
      <c r="AA49" s="14" t="n">
        <v>19</v>
      </c>
      <c r="AB49" s="14" t="s">
        <v>178</v>
      </c>
      <c r="AC49" s="14" t="s">
        <v>177</v>
      </c>
      <c r="AD49" s="14" t="n">
        <v>5</v>
      </c>
      <c r="AE49" s="14" t="n">
        <v>5</v>
      </c>
    </row>
    <row r="50" customFormat="false" ht="15" hidden="false" customHeight="false" outlineLevel="0" collapsed="false">
      <c r="A50" s="2" t="n">
        <v>49</v>
      </c>
      <c r="B50" s="2" t="s">
        <v>9</v>
      </c>
      <c r="C50" s="2" t="s">
        <v>63</v>
      </c>
      <c r="D50" s="2" t="s">
        <v>64</v>
      </c>
      <c r="E50" s="11" t="s">
        <v>65</v>
      </c>
      <c r="F50" s="11" t="s">
        <v>66</v>
      </c>
      <c r="G50" s="2" t="n">
        <v>3</v>
      </c>
      <c r="H50" s="2" t="n">
        <v>1</v>
      </c>
      <c r="I50" s="12" t="n">
        <v>2</v>
      </c>
      <c r="J50" s="13" t="n">
        <v>12</v>
      </c>
      <c r="K50" s="13" t="n">
        <v>1041.9</v>
      </c>
      <c r="L50" s="13" t="n">
        <v>-0.04</v>
      </c>
      <c r="M50" s="13" t="n">
        <v>4</v>
      </c>
      <c r="N50" s="13" t="n">
        <v>-7</v>
      </c>
      <c r="O50" s="13" t="n">
        <v>0</v>
      </c>
      <c r="P50" s="13" t="n">
        <v>2</v>
      </c>
      <c r="Q50" s="13" t="n">
        <v>0</v>
      </c>
      <c r="R50" s="14" t="n">
        <v>3</v>
      </c>
      <c r="S50" s="14" t="n">
        <v>15</v>
      </c>
      <c r="T50" s="14" t="n">
        <v>1520</v>
      </c>
      <c r="U50" s="14" t="n">
        <v>478.1</v>
      </c>
      <c r="V50" s="14" t="n">
        <v>26.58</v>
      </c>
      <c r="W50" s="14" t="n">
        <v>26.62</v>
      </c>
      <c r="X50" s="14" t="n">
        <v>8</v>
      </c>
      <c r="Y50" s="14" t="n">
        <v>4</v>
      </c>
      <c r="Z50" s="14" t="n">
        <v>12</v>
      </c>
      <c r="AA50" s="14" t="n">
        <v>19</v>
      </c>
      <c r="AB50" s="14" t="s">
        <v>177</v>
      </c>
      <c r="AC50" s="14" t="s">
        <v>175</v>
      </c>
      <c r="AD50" s="14" t="n">
        <v>14</v>
      </c>
      <c r="AE50" s="14" t="n">
        <v>14</v>
      </c>
    </row>
    <row r="51" customFormat="false" ht="15" hidden="false" customHeight="false" outlineLevel="0" collapsed="false">
      <c r="A51" s="2" t="n">
        <v>50</v>
      </c>
      <c r="B51" s="2" t="s">
        <v>9</v>
      </c>
      <c r="C51" s="2" t="s">
        <v>63</v>
      </c>
      <c r="D51" s="2" t="s">
        <v>67</v>
      </c>
      <c r="E51" s="11" t="s">
        <v>68</v>
      </c>
      <c r="F51" s="11" t="s">
        <v>69</v>
      </c>
      <c r="G51" s="2" t="n">
        <v>1</v>
      </c>
      <c r="H51" s="2" t="n">
        <v>4</v>
      </c>
      <c r="I51" s="12" t="n">
        <v>-3</v>
      </c>
      <c r="J51" s="13" t="n">
        <v>-26</v>
      </c>
      <c r="K51" s="13" t="n">
        <v>-568.7</v>
      </c>
      <c r="L51" s="13" t="n">
        <v>0.3</v>
      </c>
      <c r="M51" s="13" t="n">
        <v>-1</v>
      </c>
      <c r="N51" s="13" t="n">
        <v>-28</v>
      </c>
      <c r="O51" s="13" t="n">
        <v>0</v>
      </c>
      <c r="P51" s="13" t="n">
        <v>-4</v>
      </c>
      <c r="Q51" s="13" t="n">
        <v>0</v>
      </c>
      <c r="R51" s="14" t="n">
        <v>57</v>
      </c>
      <c r="S51" s="14" t="n">
        <v>31</v>
      </c>
      <c r="T51" s="14" t="n">
        <v>21.2</v>
      </c>
      <c r="U51" s="14" t="n">
        <v>589.9</v>
      </c>
      <c r="V51" s="14" t="n">
        <v>26.65</v>
      </c>
      <c r="W51" s="14" t="n">
        <v>26.35</v>
      </c>
      <c r="X51" s="14" t="n">
        <v>2</v>
      </c>
      <c r="Y51" s="14" t="n">
        <v>3</v>
      </c>
      <c r="Z51" s="14" t="n">
        <v>4</v>
      </c>
      <c r="AA51" s="14" t="n">
        <v>32</v>
      </c>
      <c r="AB51" s="14" t="s">
        <v>176</v>
      </c>
      <c r="AC51" s="14" t="s">
        <v>177</v>
      </c>
      <c r="AD51" s="14" t="n">
        <v>14</v>
      </c>
      <c r="AE51" s="14" t="n">
        <v>14</v>
      </c>
    </row>
    <row r="52" customFormat="false" ht="15" hidden="false" customHeight="false" outlineLevel="0" collapsed="false">
      <c r="A52" s="2" t="n">
        <v>51</v>
      </c>
      <c r="B52" s="2" t="s">
        <v>9</v>
      </c>
      <c r="C52" s="2" t="s">
        <v>63</v>
      </c>
      <c r="D52" s="2" t="s">
        <v>56</v>
      </c>
      <c r="E52" s="11" t="s">
        <v>65</v>
      </c>
      <c r="F52" s="11" t="s">
        <v>68</v>
      </c>
      <c r="G52" s="2" t="n">
        <v>3</v>
      </c>
      <c r="H52" s="2" t="n">
        <v>0</v>
      </c>
      <c r="I52" s="12" t="n">
        <v>3</v>
      </c>
      <c r="J52" s="13" t="n">
        <v>54</v>
      </c>
      <c r="K52" s="13" t="n">
        <v>1498.8</v>
      </c>
      <c r="L52" s="13" t="n">
        <v>-0.07</v>
      </c>
      <c r="M52" s="13" t="n">
        <v>6</v>
      </c>
      <c r="N52" s="13" t="n">
        <v>8</v>
      </c>
      <c r="O52" s="13" t="n">
        <v>0</v>
      </c>
      <c r="P52" s="13" t="n">
        <v>4</v>
      </c>
      <c r="Q52" s="13" t="n">
        <v>1</v>
      </c>
      <c r="R52" s="14" t="n">
        <v>3</v>
      </c>
      <c r="S52" s="14" t="n">
        <v>57</v>
      </c>
      <c r="T52" s="14" t="n">
        <v>1520</v>
      </c>
      <c r="U52" s="14" t="n">
        <v>21.2</v>
      </c>
      <c r="V52" s="14" t="n">
        <v>26.58</v>
      </c>
      <c r="W52" s="14" t="n">
        <v>26.65</v>
      </c>
      <c r="X52" s="14" t="n">
        <v>8</v>
      </c>
      <c r="Y52" s="14" t="n">
        <v>2</v>
      </c>
      <c r="Z52" s="14" t="n">
        <v>12</v>
      </c>
      <c r="AA52" s="14" t="n">
        <v>4</v>
      </c>
      <c r="AB52" s="14" t="s">
        <v>177</v>
      </c>
      <c r="AC52" s="14" t="s">
        <v>176</v>
      </c>
      <c r="AD52" s="14" t="n">
        <v>6</v>
      </c>
      <c r="AE52" s="14" t="n">
        <v>5</v>
      </c>
    </row>
    <row r="53" customFormat="false" ht="15" hidden="false" customHeight="false" outlineLevel="0" collapsed="false">
      <c r="A53" s="2" t="n">
        <v>52</v>
      </c>
      <c r="B53" s="2" t="s">
        <v>9</v>
      </c>
      <c r="C53" s="2" t="s">
        <v>63</v>
      </c>
      <c r="D53" s="2" t="s">
        <v>70</v>
      </c>
      <c r="E53" s="11" t="s">
        <v>69</v>
      </c>
      <c r="F53" s="11" t="s">
        <v>66</v>
      </c>
      <c r="G53" s="2" t="n">
        <v>3</v>
      </c>
      <c r="H53" s="2" t="n">
        <v>2</v>
      </c>
      <c r="I53" s="12" t="n">
        <v>1</v>
      </c>
      <c r="J53" s="13" t="n">
        <v>-16</v>
      </c>
      <c r="K53" s="13" t="n">
        <v>111.8</v>
      </c>
      <c r="L53" s="13" t="n">
        <v>-0.27</v>
      </c>
      <c r="M53" s="13" t="n">
        <v>-1</v>
      </c>
      <c r="N53" s="13" t="n">
        <v>13</v>
      </c>
      <c r="O53" s="13" t="n">
        <v>0</v>
      </c>
      <c r="P53" s="13" t="n">
        <v>2</v>
      </c>
      <c r="Q53" s="13" t="n">
        <v>-1</v>
      </c>
      <c r="R53" s="14" t="n">
        <v>31</v>
      </c>
      <c r="S53" s="14" t="n">
        <v>15</v>
      </c>
      <c r="T53" s="14" t="n">
        <v>589.9</v>
      </c>
      <c r="U53" s="14" t="n">
        <v>478.1</v>
      </c>
      <c r="V53" s="14" t="n">
        <v>26.35</v>
      </c>
      <c r="W53" s="14" t="n">
        <v>26.62</v>
      </c>
      <c r="X53" s="14" t="n">
        <v>3</v>
      </c>
      <c r="Y53" s="14" t="n">
        <v>4</v>
      </c>
      <c r="Z53" s="14" t="n">
        <v>32</v>
      </c>
      <c r="AA53" s="14" t="n">
        <v>19</v>
      </c>
      <c r="AB53" s="14" t="s">
        <v>177</v>
      </c>
      <c r="AC53" s="14" t="s">
        <v>175</v>
      </c>
      <c r="AD53" s="14" t="n">
        <v>6</v>
      </c>
      <c r="AE53" s="14" t="n">
        <v>7</v>
      </c>
    </row>
    <row r="54" customFormat="false" ht="15" hidden="false" customHeight="false" outlineLevel="0" collapsed="false">
      <c r="A54" s="2" t="n">
        <v>53</v>
      </c>
      <c r="B54" s="2" t="s">
        <v>9</v>
      </c>
      <c r="C54" s="2" t="s">
        <v>63</v>
      </c>
      <c r="D54" s="2" t="s">
        <v>57</v>
      </c>
      <c r="E54" s="11" t="s">
        <v>69</v>
      </c>
      <c r="F54" s="11" t="s">
        <v>65</v>
      </c>
      <c r="G54" s="2" t="n">
        <v>1</v>
      </c>
      <c r="H54" s="2" t="n">
        <v>4</v>
      </c>
      <c r="I54" s="12" t="n">
        <v>-3</v>
      </c>
      <c r="J54" s="13" t="n">
        <v>-28</v>
      </c>
      <c r="K54" s="13" t="n">
        <v>-930.1</v>
      </c>
      <c r="L54" s="13" t="n">
        <v>-0.23</v>
      </c>
      <c r="M54" s="13" t="n">
        <v>-5</v>
      </c>
      <c r="N54" s="13" t="n">
        <v>20</v>
      </c>
      <c r="O54" s="13" t="n">
        <v>0</v>
      </c>
      <c r="P54" s="13" t="n">
        <v>0</v>
      </c>
      <c r="Q54" s="13" t="n">
        <v>-1</v>
      </c>
      <c r="R54" s="14" t="n">
        <v>31</v>
      </c>
      <c r="S54" s="14" t="n">
        <v>3</v>
      </c>
      <c r="T54" s="14" t="n">
        <v>589.9</v>
      </c>
      <c r="U54" s="14" t="n">
        <v>1520</v>
      </c>
      <c r="V54" s="14" t="n">
        <v>26.35</v>
      </c>
      <c r="W54" s="14" t="n">
        <v>26.58</v>
      </c>
      <c r="X54" s="14" t="n">
        <v>3</v>
      </c>
      <c r="Y54" s="14" t="n">
        <v>8</v>
      </c>
      <c r="Z54" s="14" t="n">
        <v>32</v>
      </c>
      <c r="AA54" s="14" t="n">
        <v>12</v>
      </c>
      <c r="AB54" s="14" t="s">
        <v>177</v>
      </c>
      <c r="AC54" s="14" t="s">
        <v>177</v>
      </c>
      <c r="AD54" s="14" t="n">
        <v>3</v>
      </c>
      <c r="AE54" s="14" t="n">
        <v>4</v>
      </c>
    </row>
    <row r="55" customFormat="false" ht="15" hidden="false" customHeight="false" outlineLevel="0" collapsed="false">
      <c r="A55" s="2" t="n">
        <v>54</v>
      </c>
      <c r="B55" s="2" t="s">
        <v>9</v>
      </c>
      <c r="C55" s="2" t="s">
        <v>63</v>
      </c>
      <c r="D55" s="2" t="s">
        <v>57</v>
      </c>
      <c r="E55" s="11" t="s">
        <v>66</v>
      </c>
      <c r="F55" s="11" t="s">
        <v>68</v>
      </c>
      <c r="G55" s="2" t="n">
        <v>5</v>
      </c>
      <c r="H55" s="2" t="n">
        <v>0</v>
      </c>
      <c r="I55" s="12" t="n">
        <v>5</v>
      </c>
      <c r="J55" s="13" t="n">
        <v>42</v>
      </c>
      <c r="K55" s="13" t="n">
        <v>456.9</v>
      </c>
      <c r="L55" s="13" t="n">
        <v>-0.03</v>
      </c>
      <c r="M55" s="13" t="n">
        <v>2</v>
      </c>
      <c r="N55" s="13" t="n">
        <v>15</v>
      </c>
      <c r="O55" s="13" t="n">
        <v>0</v>
      </c>
      <c r="P55" s="13" t="n">
        <v>2</v>
      </c>
      <c r="Q55" s="13" t="n">
        <v>-1</v>
      </c>
      <c r="R55" s="14" t="n">
        <v>15</v>
      </c>
      <c r="S55" s="14" t="n">
        <v>57</v>
      </c>
      <c r="T55" s="14" t="n">
        <v>478.1</v>
      </c>
      <c r="U55" s="14" t="n">
        <v>21.2</v>
      </c>
      <c r="V55" s="14" t="n">
        <v>26.62</v>
      </c>
      <c r="W55" s="14" t="n">
        <v>26.65</v>
      </c>
      <c r="X55" s="14" t="n">
        <v>4</v>
      </c>
      <c r="Y55" s="14" t="n">
        <v>2</v>
      </c>
      <c r="Z55" s="14" t="n">
        <v>19</v>
      </c>
      <c r="AA55" s="14" t="n">
        <v>4</v>
      </c>
      <c r="AB55" s="14" t="s">
        <v>175</v>
      </c>
      <c r="AC55" s="14" t="s">
        <v>176</v>
      </c>
      <c r="AD55" s="14" t="n">
        <v>3</v>
      </c>
      <c r="AE55" s="14" t="n">
        <v>4</v>
      </c>
    </row>
    <row r="56" customFormat="false" ht="15" hidden="false" customHeight="false" outlineLevel="0" collapsed="false">
      <c r="A56" s="2" t="n">
        <v>55</v>
      </c>
      <c r="B56" s="2" t="s">
        <v>9</v>
      </c>
      <c r="C56" s="2" t="s">
        <v>71</v>
      </c>
      <c r="D56" s="2" t="s">
        <v>64</v>
      </c>
      <c r="E56" s="11" t="s">
        <v>72</v>
      </c>
      <c r="F56" s="11" t="s">
        <v>73</v>
      </c>
      <c r="G56" s="2" t="n">
        <v>3</v>
      </c>
      <c r="H56" s="2" t="n">
        <v>0</v>
      </c>
      <c r="I56" s="12" t="n">
        <v>3</v>
      </c>
      <c r="J56" s="13" t="n">
        <v>27</v>
      </c>
      <c r="K56" s="13" t="n">
        <v>550.6</v>
      </c>
      <c r="L56" s="13" t="n">
        <v>2.16</v>
      </c>
      <c r="M56" s="13" t="n">
        <v>6</v>
      </c>
      <c r="N56" s="13" t="n">
        <v>5</v>
      </c>
      <c r="O56" s="13" t="n">
        <v>0</v>
      </c>
      <c r="P56" s="13" t="n">
        <v>1</v>
      </c>
      <c r="Q56" s="13" t="n">
        <v>0</v>
      </c>
      <c r="R56" s="14" t="n">
        <v>1</v>
      </c>
      <c r="S56" s="14" t="n">
        <v>28</v>
      </c>
      <c r="T56" s="14" t="n">
        <v>807.5</v>
      </c>
      <c r="U56" s="14" t="n">
        <v>256.9</v>
      </c>
      <c r="V56" s="14" t="n">
        <v>28.62</v>
      </c>
      <c r="W56" s="14" t="n">
        <v>26.46</v>
      </c>
      <c r="X56" s="14" t="n">
        <v>8</v>
      </c>
      <c r="Y56" s="14" t="n">
        <v>2</v>
      </c>
      <c r="Z56" s="14" t="n">
        <v>21</v>
      </c>
      <c r="AA56" s="14" t="n">
        <v>16</v>
      </c>
      <c r="AB56" s="14" t="s">
        <v>178</v>
      </c>
      <c r="AC56" s="14" t="s">
        <v>175</v>
      </c>
      <c r="AD56" s="14" t="n">
        <v>14</v>
      </c>
      <c r="AE56" s="14" t="n">
        <v>14</v>
      </c>
    </row>
    <row r="57" customFormat="false" ht="15" hidden="false" customHeight="false" outlineLevel="0" collapsed="false">
      <c r="A57" s="2" t="n">
        <v>56</v>
      </c>
      <c r="B57" s="2" t="s">
        <v>9</v>
      </c>
      <c r="C57" s="2" t="s">
        <v>71</v>
      </c>
      <c r="D57" s="2" t="s">
        <v>64</v>
      </c>
      <c r="E57" s="11" t="s">
        <v>74</v>
      </c>
      <c r="F57" s="11" t="s">
        <v>75</v>
      </c>
      <c r="G57" s="2" t="n">
        <v>3</v>
      </c>
      <c r="H57" s="2" t="n">
        <v>1</v>
      </c>
      <c r="I57" s="12" t="n">
        <v>2</v>
      </c>
      <c r="J57" s="13" t="n">
        <v>39</v>
      </c>
      <c r="K57" s="13" t="n">
        <v>224.9</v>
      </c>
      <c r="L57" s="13" t="n">
        <v>0.04</v>
      </c>
      <c r="M57" s="13" t="n">
        <v>5</v>
      </c>
      <c r="N57" s="13" t="n">
        <v>10</v>
      </c>
      <c r="O57" s="13" t="n">
        <v>0</v>
      </c>
      <c r="P57" s="13" t="n">
        <v>4</v>
      </c>
      <c r="Q57" s="13" t="n">
        <v>0</v>
      </c>
      <c r="R57" s="14" t="n">
        <v>24</v>
      </c>
      <c r="S57" s="14" t="n">
        <v>63</v>
      </c>
      <c r="T57" s="14" t="n">
        <v>245.2</v>
      </c>
      <c r="U57" s="14" t="n">
        <v>20.3</v>
      </c>
      <c r="V57" s="14" t="n">
        <v>28.12</v>
      </c>
      <c r="W57" s="14" t="n">
        <v>28.08</v>
      </c>
      <c r="X57" s="14" t="n">
        <v>6</v>
      </c>
      <c r="Y57" s="14" t="n">
        <v>1</v>
      </c>
      <c r="Z57" s="14" t="n">
        <v>18</v>
      </c>
      <c r="AA57" s="14" t="n">
        <v>8</v>
      </c>
      <c r="AB57" s="14" t="s">
        <v>177</v>
      </c>
      <c r="AC57" s="14" t="s">
        <v>176</v>
      </c>
      <c r="AD57" s="14" t="n">
        <v>14</v>
      </c>
      <c r="AE57" s="14" t="n">
        <v>14</v>
      </c>
    </row>
    <row r="58" customFormat="false" ht="15" hidden="false" customHeight="false" outlineLevel="0" collapsed="false">
      <c r="A58" s="2" t="n">
        <v>57</v>
      </c>
      <c r="B58" s="2" t="s">
        <v>9</v>
      </c>
      <c r="C58" s="2" t="s">
        <v>71</v>
      </c>
      <c r="D58" s="2" t="s">
        <v>56</v>
      </c>
      <c r="E58" s="11" t="s">
        <v>72</v>
      </c>
      <c r="F58" s="11" t="s">
        <v>74</v>
      </c>
      <c r="G58" s="2" t="n">
        <v>2</v>
      </c>
      <c r="H58" s="2" t="n">
        <v>0</v>
      </c>
      <c r="I58" s="12" t="n">
        <v>2</v>
      </c>
      <c r="J58" s="13" t="n">
        <v>23</v>
      </c>
      <c r="K58" s="13" t="n">
        <v>562.3</v>
      </c>
      <c r="L58" s="13" t="n">
        <v>0.5</v>
      </c>
      <c r="M58" s="13" t="n">
        <v>2</v>
      </c>
      <c r="N58" s="13" t="n">
        <v>3</v>
      </c>
      <c r="O58" s="13" t="n">
        <v>0</v>
      </c>
      <c r="P58" s="13" t="n">
        <v>-1</v>
      </c>
      <c r="Q58" s="13" t="n">
        <v>0</v>
      </c>
      <c r="R58" s="14" t="n">
        <v>1</v>
      </c>
      <c r="S58" s="14" t="n">
        <v>24</v>
      </c>
      <c r="T58" s="14" t="n">
        <v>807.5</v>
      </c>
      <c r="U58" s="14" t="n">
        <v>245.2</v>
      </c>
      <c r="V58" s="14" t="n">
        <v>28.62</v>
      </c>
      <c r="W58" s="14" t="n">
        <v>28.12</v>
      </c>
      <c r="X58" s="14" t="n">
        <v>8</v>
      </c>
      <c r="Y58" s="14" t="n">
        <v>6</v>
      </c>
      <c r="Z58" s="14" t="n">
        <v>21</v>
      </c>
      <c r="AA58" s="14" t="n">
        <v>18</v>
      </c>
      <c r="AB58" s="14" t="s">
        <v>178</v>
      </c>
      <c r="AC58" s="14" t="s">
        <v>177</v>
      </c>
      <c r="AD58" s="14" t="n">
        <v>6</v>
      </c>
      <c r="AE58" s="14" t="n">
        <v>6</v>
      </c>
    </row>
    <row r="59" customFormat="false" ht="15" hidden="false" customHeight="false" outlineLevel="0" collapsed="false">
      <c r="A59" s="2" t="n">
        <v>58</v>
      </c>
      <c r="B59" s="2" t="s">
        <v>9</v>
      </c>
      <c r="C59" s="2" t="s">
        <v>71</v>
      </c>
      <c r="D59" s="2" t="s">
        <v>56</v>
      </c>
      <c r="E59" s="11" t="s">
        <v>75</v>
      </c>
      <c r="F59" s="11" t="s">
        <v>73</v>
      </c>
      <c r="G59" s="2" t="n">
        <v>1</v>
      </c>
      <c r="H59" s="2" t="n">
        <v>2</v>
      </c>
      <c r="I59" s="12" t="n">
        <v>-1</v>
      </c>
      <c r="J59" s="13" t="n">
        <v>-35</v>
      </c>
      <c r="K59" s="13" t="n">
        <v>-236.6</v>
      </c>
      <c r="L59" s="13" t="n">
        <v>1.62</v>
      </c>
      <c r="M59" s="13" t="n">
        <v>-1</v>
      </c>
      <c r="N59" s="13" t="n">
        <v>-8</v>
      </c>
      <c r="O59" s="13" t="n">
        <v>0</v>
      </c>
      <c r="P59" s="13" t="n">
        <v>-2</v>
      </c>
      <c r="Q59" s="13" t="n">
        <v>0</v>
      </c>
      <c r="R59" s="14" t="n">
        <v>63</v>
      </c>
      <c r="S59" s="14" t="n">
        <v>28</v>
      </c>
      <c r="T59" s="14" t="n">
        <v>20.3</v>
      </c>
      <c r="U59" s="14" t="n">
        <v>256.9</v>
      </c>
      <c r="V59" s="14" t="n">
        <v>28.08</v>
      </c>
      <c r="W59" s="14" t="n">
        <v>26.46</v>
      </c>
      <c r="X59" s="14" t="n">
        <v>1</v>
      </c>
      <c r="Y59" s="14" t="n">
        <v>2</v>
      </c>
      <c r="Z59" s="14" t="n">
        <v>8</v>
      </c>
      <c r="AA59" s="14" t="n">
        <v>16</v>
      </c>
      <c r="AB59" s="14" t="s">
        <v>176</v>
      </c>
      <c r="AC59" s="14" t="s">
        <v>175</v>
      </c>
      <c r="AD59" s="14" t="n">
        <v>6</v>
      </c>
      <c r="AE59" s="14" t="n">
        <v>6</v>
      </c>
    </row>
    <row r="60" customFormat="false" ht="15" hidden="false" customHeight="false" outlineLevel="0" collapsed="false">
      <c r="A60" s="2" t="n">
        <v>59</v>
      </c>
      <c r="B60" s="2" t="s">
        <v>9</v>
      </c>
      <c r="C60" s="2" t="s">
        <v>71</v>
      </c>
      <c r="D60" s="2" t="s">
        <v>76</v>
      </c>
      <c r="E60" s="11" t="s">
        <v>73</v>
      </c>
      <c r="F60" s="11" t="s">
        <v>74</v>
      </c>
      <c r="G60" s="2" t="n">
        <v>3</v>
      </c>
      <c r="H60" s="2" t="n">
        <v>3</v>
      </c>
      <c r="I60" s="12" t="n">
        <v>0</v>
      </c>
      <c r="J60" s="13" t="n">
        <v>-4</v>
      </c>
      <c r="K60" s="13" t="n">
        <v>11.7</v>
      </c>
      <c r="L60" s="13" t="n">
        <v>-1.66</v>
      </c>
      <c r="M60" s="13" t="n">
        <v>-4</v>
      </c>
      <c r="N60" s="13" t="n">
        <v>-2</v>
      </c>
      <c r="O60" s="13" t="n">
        <v>0</v>
      </c>
      <c r="P60" s="13" t="n">
        <v>-2</v>
      </c>
      <c r="Q60" s="13" t="n">
        <v>0</v>
      </c>
      <c r="R60" s="14" t="n">
        <v>28</v>
      </c>
      <c r="S60" s="14" t="n">
        <v>24</v>
      </c>
      <c r="T60" s="14" t="n">
        <v>256.9</v>
      </c>
      <c r="U60" s="14" t="n">
        <v>245.2</v>
      </c>
      <c r="V60" s="14" t="n">
        <v>26.46</v>
      </c>
      <c r="W60" s="14" t="n">
        <v>28.12</v>
      </c>
      <c r="X60" s="14" t="n">
        <v>2</v>
      </c>
      <c r="Y60" s="14" t="n">
        <v>6</v>
      </c>
      <c r="Z60" s="14" t="n">
        <v>16</v>
      </c>
      <c r="AA60" s="14" t="n">
        <v>18</v>
      </c>
      <c r="AB60" s="14" t="s">
        <v>175</v>
      </c>
      <c r="AC60" s="14" t="s">
        <v>177</v>
      </c>
      <c r="AD60" s="14" t="n">
        <v>5</v>
      </c>
      <c r="AE60" s="14" t="n">
        <v>5</v>
      </c>
    </row>
    <row r="61" customFormat="false" ht="15" hidden="false" customHeight="false" outlineLevel="0" collapsed="false">
      <c r="A61" s="2" t="n">
        <v>60</v>
      </c>
      <c r="B61" s="2" t="s">
        <v>9</v>
      </c>
      <c r="C61" s="2" t="s">
        <v>71</v>
      </c>
      <c r="D61" s="2" t="s">
        <v>76</v>
      </c>
      <c r="E61" s="11" t="s">
        <v>75</v>
      </c>
      <c r="F61" s="11" t="s">
        <v>72</v>
      </c>
      <c r="G61" s="2" t="n">
        <v>1</v>
      </c>
      <c r="H61" s="2" t="n">
        <v>3</v>
      </c>
      <c r="I61" s="12" t="n">
        <v>-2</v>
      </c>
      <c r="J61" s="13" t="n">
        <v>-62</v>
      </c>
      <c r="K61" s="13" t="n">
        <v>-787.2</v>
      </c>
      <c r="L61" s="13" t="n">
        <v>-0.54</v>
      </c>
      <c r="M61" s="13" t="n">
        <v>-7</v>
      </c>
      <c r="N61" s="13" t="n">
        <v>-13</v>
      </c>
      <c r="O61" s="13" t="n">
        <v>0</v>
      </c>
      <c r="P61" s="13" t="n">
        <v>-3</v>
      </c>
      <c r="Q61" s="13" t="n">
        <v>0</v>
      </c>
      <c r="R61" s="14" t="n">
        <v>63</v>
      </c>
      <c r="S61" s="14" t="n">
        <v>1</v>
      </c>
      <c r="T61" s="14" t="n">
        <v>20.3</v>
      </c>
      <c r="U61" s="14" t="n">
        <v>807.5</v>
      </c>
      <c r="V61" s="14" t="n">
        <v>28.08</v>
      </c>
      <c r="W61" s="14" t="n">
        <v>28.62</v>
      </c>
      <c r="X61" s="14" t="n">
        <v>1</v>
      </c>
      <c r="Y61" s="14" t="n">
        <v>8</v>
      </c>
      <c r="Z61" s="14" t="n">
        <v>8</v>
      </c>
      <c r="AA61" s="14" t="n">
        <v>21</v>
      </c>
      <c r="AB61" s="14" t="s">
        <v>176</v>
      </c>
      <c r="AC61" s="14" t="s">
        <v>178</v>
      </c>
      <c r="AD61" s="14" t="n">
        <v>5</v>
      </c>
      <c r="AE61" s="14" t="n">
        <v>5</v>
      </c>
    </row>
    <row r="62" customFormat="false" ht="15" hidden="false" customHeight="false" outlineLevel="0" collapsed="false">
      <c r="A62" s="2" t="n">
        <v>61</v>
      </c>
      <c r="B62" s="2" t="s">
        <v>9</v>
      </c>
      <c r="C62" s="2" t="s">
        <v>77</v>
      </c>
      <c r="D62" s="2" t="s">
        <v>67</v>
      </c>
      <c r="E62" s="11" t="s">
        <v>78</v>
      </c>
      <c r="F62" s="11" t="s">
        <v>79</v>
      </c>
      <c r="G62" s="2" t="n">
        <v>1</v>
      </c>
      <c r="H62" s="2" t="n">
        <v>1</v>
      </c>
      <c r="I62" s="12" t="n">
        <v>0</v>
      </c>
      <c r="J62" s="13" t="n">
        <v>41</v>
      </c>
      <c r="K62" s="13" t="n">
        <v>866.1</v>
      </c>
      <c r="L62" s="13" t="n">
        <v>-0.96</v>
      </c>
      <c r="M62" s="13" t="n">
        <v>4</v>
      </c>
      <c r="N62" s="13" t="n">
        <v>6</v>
      </c>
      <c r="O62" s="13" t="n">
        <v>0</v>
      </c>
      <c r="P62" s="13" t="n">
        <v>2</v>
      </c>
      <c r="Q62" s="13" t="n">
        <v>0</v>
      </c>
      <c r="R62" s="14" t="n">
        <v>5</v>
      </c>
      <c r="S62" s="14" t="n">
        <v>46</v>
      </c>
      <c r="T62" s="14" t="n">
        <v>1010</v>
      </c>
      <c r="U62" s="14" t="n">
        <v>143.9</v>
      </c>
      <c r="V62" s="14" t="n">
        <v>27.54</v>
      </c>
      <c r="W62" s="14" t="n">
        <v>28.5</v>
      </c>
      <c r="X62" s="14" t="n">
        <v>6</v>
      </c>
      <c r="Y62" s="14" t="n">
        <v>2</v>
      </c>
      <c r="Z62" s="14" t="n">
        <v>13</v>
      </c>
      <c r="AA62" s="14" t="n">
        <v>7</v>
      </c>
      <c r="AB62" s="14" t="s">
        <v>177</v>
      </c>
      <c r="AC62" s="14" t="s">
        <v>175</v>
      </c>
      <c r="AD62" s="14" t="n">
        <v>14</v>
      </c>
      <c r="AE62" s="14" t="n">
        <v>14</v>
      </c>
    </row>
    <row r="63" customFormat="false" ht="15" hidden="false" customHeight="false" outlineLevel="0" collapsed="false">
      <c r="A63" s="2" t="n">
        <v>62</v>
      </c>
      <c r="B63" s="2" t="s">
        <v>9</v>
      </c>
      <c r="C63" s="2" t="s">
        <v>77</v>
      </c>
      <c r="D63" s="2" t="s">
        <v>67</v>
      </c>
      <c r="E63" s="11" t="s">
        <v>80</v>
      </c>
      <c r="F63" s="11" t="s">
        <v>81</v>
      </c>
      <c r="G63" s="2" t="n">
        <v>1</v>
      </c>
      <c r="H63" s="2" t="n">
        <v>3</v>
      </c>
      <c r="I63" s="12" t="n">
        <v>-2</v>
      </c>
      <c r="J63" s="13" t="n">
        <v>-37</v>
      </c>
      <c r="K63" s="13" t="n">
        <v>-217.02</v>
      </c>
      <c r="L63" s="13" t="n">
        <v>-1.62</v>
      </c>
      <c r="M63" s="13" t="n">
        <v>-3</v>
      </c>
      <c r="N63" s="13" t="n">
        <v>-3</v>
      </c>
      <c r="O63" s="13" t="n">
        <v>0</v>
      </c>
      <c r="P63" s="13" t="n">
        <v>-3</v>
      </c>
      <c r="Q63" s="13" t="n">
        <v>0</v>
      </c>
      <c r="R63" s="14" t="n">
        <v>50</v>
      </c>
      <c r="S63" s="14" t="n">
        <v>13</v>
      </c>
      <c r="T63" s="14" t="n">
        <v>85.33</v>
      </c>
      <c r="U63" s="14" t="n">
        <v>302.35</v>
      </c>
      <c r="V63" s="14" t="n">
        <v>27.96</v>
      </c>
      <c r="W63" s="14" t="n">
        <v>29.58</v>
      </c>
      <c r="X63" s="14" t="n">
        <v>1</v>
      </c>
      <c r="Y63" s="14" t="n">
        <v>4</v>
      </c>
      <c r="Z63" s="14" t="n">
        <v>7</v>
      </c>
      <c r="AA63" s="14" t="n">
        <v>10</v>
      </c>
      <c r="AB63" s="14" t="s">
        <v>176</v>
      </c>
      <c r="AC63" s="14" t="s">
        <v>178</v>
      </c>
      <c r="AD63" s="14" t="n">
        <v>14</v>
      </c>
      <c r="AE63" s="14" t="n">
        <v>14</v>
      </c>
    </row>
    <row r="64" customFormat="false" ht="15" hidden="false" customHeight="false" outlineLevel="0" collapsed="false">
      <c r="A64" s="2" t="n">
        <v>63</v>
      </c>
      <c r="B64" s="2" t="s">
        <v>9</v>
      </c>
      <c r="C64" s="2" t="s">
        <v>77</v>
      </c>
      <c r="D64" s="2" t="s">
        <v>70</v>
      </c>
      <c r="E64" s="11" t="s">
        <v>78</v>
      </c>
      <c r="F64" s="11" t="s">
        <v>80</v>
      </c>
      <c r="G64" s="2" t="n">
        <v>5</v>
      </c>
      <c r="H64" s="2" t="n">
        <v>0</v>
      </c>
      <c r="I64" s="12" t="n">
        <v>5</v>
      </c>
      <c r="J64" s="13" t="n">
        <v>45</v>
      </c>
      <c r="K64" s="13" t="n">
        <v>924.67</v>
      </c>
      <c r="L64" s="13" t="n">
        <v>-0.42</v>
      </c>
      <c r="M64" s="13" t="n">
        <v>5</v>
      </c>
      <c r="N64" s="13" t="n">
        <v>6</v>
      </c>
      <c r="O64" s="13" t="n">
        <v>0</v>
      </c>
      <c r="P64" s="13" t="n">
        <v>4</v>
      </c>
      <c r="Q64" s="13" t="n">
        <v>0</v>
      </c>
      <c r="R64" s="14" t="n">
        <v>5</v>
      </c>
      <c r="S64" s="14" t="n">
        <v>50</v>
      </c>
      <c r="T64" s="14" t="n">
        <v>1010</v>
      </c>
      <c r="U64" s="14" t="n">
        <v>85.33</v>
      </c>
      <c r="V64" s="14" t="n">
        <v>27.54</v>
      </c>
      <c r="W64" s="14" t="n">
        <v>27.96</v>
      </c>
      <c r="X64" s="14" t="n">
        <v>6</v>
      </c>
      <c r="Y64" s="14" t="n">
        <v>1</v>
      </c>
      <c r="Z64" s="14" t="n">
        <v>13</v>
      </c>
      <c r="AA64" s="14" t="n">
        <v>7</v>
      </c>
      <c r="AB64" s="14" t="s">
        <v>177</v>
      </c>
      <c r="AC64" s="14" t="s">
        <v>176</v>
      </c>
      <c r="AD64" s="14" t="n">
        <v>6</v>
      </c>
      <c r="AE64" s="14" t="n">
        <v>6</v>
      </c>
    </row>
    <row r="65" customFormat="false" ht="15" hidden="false" customHeight="false" outlineLevel="0" collapsed="false">
      <c r="A65" s="2" t="n">
        <v>64</v>
      </c>
      <c r="B65" s="2" t="s">
        <v>9</v>
      </c>
      <c r="C65" s="2" t="s">
        <v>77</v>
      </c>
      <c r="D65" s="2" t="s">
        <v>70</v>
      </c>
      <c r="E65" s="11" t="s">
        <v>81</v>
      </c>
      <c r="F65" s="11" t="s">
        <v>79</v>
      </c>
      <c r="G65" s="2" t="n">
        <v>1</v>
      </c>
      <c r="H65" s="2" t="n">
        <v>0</v>
      </c>
      <c r="I65" s="12" t="n">
        <v>1</v>
      </c>
      <c r="J65" s="13" t="n">
        <v>33</v>
      </c>
      <c r="K65" s="13" t="n">
        <v>158.45</v>
      </c>
      <c r="L65" s="13" t="n">
        <v>1.08</v>
      </c>
      <c r="M65" s="13" t="n">
        <v>2</v>
      </c>
      <c r="N65" s="13" t="n">
        <v>3</v>
      </c>
      <c r="O65" s="13" t="n">
        <v>0</v>
      </c>
      <c r="P65" s="13" t="n">
        <v>1</v>
      </c>
      <c r="Q65" s="13" t="n">
        <v>0</v>
      </c>
      <c r="R65" s="14" t="n">
        <v>13</v>
      </c>
      <c r="S65" s="14" t="n">
        <v>46</v>
      </c>
      <c r="T65" s="14" t="n">
        <v>302.35</v>
      </c>
      <c r="U65" s="14" t="n">
        <v>143.9</v>
      </c>
      <c r="V65" s="14" t="n">
        <v>29.58</v>
      </c>
      <c r="W65" s="14" t="n">
        <v>28.5</v>
      </c>
      <c r="X65" s="14" t="n">
        <v>4</v>
      </c>
      <c r="Y65" s="14" t="n">
        <v>2</v>
      </c>
      <c r="Z65" s="14" t="n">
        <v>10</v>
      </c>
      <c r="AA65" s="14" t="n">
        <v>7</v>
      </c>
      <c r="AB65" s="14" t="s">
        <v>178</v>
      </c>
      <c r="AC65" s="14" t="s">
        <v>175</v>
      </c>
      <c r="AD65" s="14" t="n">
        <v>6</v>
      </c>
      <c r="AE65" s="14" t="n">
        <v>6</v>
      </c>
    </row>
    <row r="66" customFormat="false" ht="15" hidden="false" customHeight="false" outlineLevel="0" collapsed="false">
      <c r="A66" s="2" t="n">
        <v>65</v>
      </c>
      <c r="B66" s="2" t="s">
        <v>9</v>
      </c>
      <c r="C66" s="2" t="s">
        <v>77</v>
      </c>
      <c r="D66" s="2" t="s">
        <v>76</v>
      </c>
      <c r="E66" s="11" t="s">
        <v>81</v>
      </c>
      <c r="F66" s="11" t="s">
        <v>78</v>
      </c>
      <c r="G66" s="2" t="n">
        <v>0</v>
      </c>
      <c r="H66" s="2" t="n">
        <v>0</v>
      </c>
      <c r="I66" s="12" t="n">
        <v>0</v>
      </c>
      <c r="J66" s="13" t="n">
        <v>-8</v>
      </c>
      <c r="K66" s="13" t="n">
        <v>-707.65</v>
      </c>
      <c r="L66" s="13" t="n">
        <v>2.04</v>
      </c>
      <c r="M66" s="13" t="n">
        <v>-2</v>
      </c>
      <c r="N66" s="13" t="n">
        <v>-3</v>
      </c>
      <c r="O66" s="13" t="n">
        <v>0</v>
      </c>
      <c r="P66" s="13" t="n">
        <v>-1</v>
      </c>
      <c r="Q66" s="13" t="n">
        <v>0</v>
      </c>
      <c r="R66" s="14" t="n">
        <v>13</v>
      </c>
      <c r="S66" s="14" t="n">
        <v>5</v>
      </c>
      <c r="T66" s="14" t="n">
        <v>302.35</v>
      </c>
      <c r="U66" s="14" t="n">
        <v>1010</v>
      </c>
      <c r="V66" s="14" t="n">
        <v>29.58</v>
      </c>
      <c r="W66" s="14" t="n">
        <v>27.54</v>
      </c>
      <c r="X66" s="14" t="n">
        <v>4</v>
      </c>
      <c r="Y66" s="14" t="n">
        <v>6</v>
      </c>
      <c r="Z66" s="14" t="n">
        <v>10</v>
      </c>
      <c r="AA66" s="14" t="n">
        <v>13</v>
      </c>
      <c r="AB66" s="14" t="s">
        <v>178</v>
      </c>
      <c r="AC66" s="14" t="s">
        <v>177</v>
      </c>
      <c r="AD66" s="14" t="n">
        <v>4</v>
      </c>
      <c r="AE66" s="14" t="n">
        <v>4</v>
      </c>
    </row>
    <row r="67" customFormat="false" ht="15" hidden="false" customHeight="false" outlineLevel="0" collapsed="false">
      <c r="A67" s="2" t="n">
        <v>66</v>
      </c>
      <c r="B67" s="2" t="s">
        <v>9</v>
      </c>
      <c r="C67" s="2" t="s">
        <v>77</v>
      </c>
      <c r="D67" s="2" t="s">
        <v>76</v>
      </c>
      <c r="E67" s="11" t="s">
        <v>79</v>
      </c>
      <c r="F67" s="11" t="s">
        <v>80</v>
      </c>
      <c r="G67" s="2" t="n">
        <v>3</v>
      </c>
      <c r="H67" s="2" t="n">
        <v>1</v>
      </c>
      <c r="I67" s="12" t="n">
        <v>2</v>
      </c>
      <c r="J67" s="13" t="n">
        <v>4</v>
      </c>
      <c r="K67" s="13" t="n">
        <v>58.57</v>
      </c>
      <c r="L67" s="13" t="n">
        <v>0.54</v>
      </c>
      <c r="M67" s="13" t="n">
        <v>1</v>
      </c>
      <c r="N67" s="13" t="n">
        <v>0</v>
      </c>
      <c r="O67" s="13" t="n">
        <v>0</v>
      </c>
      <c r="P67" s="13" t="n">
        <v>2</v>
      </c>
      <c r="Q67" s="13" t="n">
        <v>0</v>
      </c>
      <c r="R67" s="14" t="n">
        <v>46</v>
      </c>
      <c r="S67" s="14" t="n">
        <v>50</v>
      </c>
      <c r="T67" s="14" t="n">
        <v>143.9</v>
      </c>
      <c r="U67" s="14" t="n">
        <v>85.33</v>
      </c>
      <c r="V67" s="14" t="n">
        <v>28.5</v>
      </c>
      <c r="W67" s="14" t="n">
        <v>27.96</v>
      </c>
      <c r="X67" s="14" t="n">
        <v>2</v>
      </c>
      <c r="Y67" s="14" t="n">
        <v>1</v>
      </c>
      <c r="Z67" s="14" t="n">
        <v>7</v>
      </c>
      <c r="AA67" s="14" t="n">
        <v>7</v>
      </c>
      <c r="AB67" s="14" t="s">
        <v>175</v>
      </c>
      <c r="AC67" s="14" t="s">
        <v>176</v>
      </c>
      <c r="AD67" s="14" t="n">
        <v>4</v>
      </c>
      <c r="AE67" s="14" t="n">
        <v>4</v>
      </c>
    </row>
    <row r="68" customFormat="false" ht="15" hidden="false" customHeight="false" outlineLevel="0" collapsed="false">
      <c r="A68" s="2" t="n">
        <v>67</v>
      </c>
      <c r="B68" s="2" t="s">
        <v>9</v>
      </c>
      <c r="C68" s="2" t="s">
        <v>82</v>
      </c>
      <c r="D68" s="2" t="s">
        <v>67</v>
      </c>
      <c r="E68" s="11" t="s">
        <v>83</v>
      </c>
      <c r="F68" s="11" t="s">
        <v>84</v>
      </c>
      <c r="G68" s="2" t="n">
        <v>4</v>
      </c>
      <c r="H68" s="2" t="n">
        <v>2</v>
      </c>
      <c r="I68" s="12" t="n">
        <v>2</v>
      </c>
      <c r="J68" s="13" t="n">
        <v>7</v>
      </c>
      <c r="K68" s="13" t="n">
        <v>972.7</v>
      </c>
      <c r="L68" s="13" t="n">
        <v>-1.26</v>
      </c>
      <c r="M68" s="13" t="n">
        <v>1</v>
      </c>
      <c r="N68" s="13" t="n">
        <v>0</v>
      </c>
      <c r="O68" s="13" t="n">
        <v>0</v>
      </c>
      <c r="P68" s="13" t="n">
        <v>0</v>
      </c>
      <c r="Q68" s="13" t="n">
        <v>0</v>
      </c>
      <c r="R68" s="14" t="n">
        <v>4</v>
      </c>
      <c r="S68" s="14" t="n">
        <v>11</v>
      </c>
      <c r="T68" s="14" t="n">
        <v>1360</v>
      </c>
      <c r="U68" s="14" t="n">
        <v>387.3</v>
      </c>
      <c r="V68" s="14" t="n">
        <v>26.62</v>
      </c>
      <c r="W68" s="14" t="n">
        <v>27.88</v>
      </c>
      <c r="X68" s="14" t="n">
        <v>8</v>
      </c>
      <c r="Y68" s="14" t="n">
        <v>7</v>
      </c>
      <c r="Z68" s="14" t="n">
        <v>22</v>
      </c>
      <c r="AA68" s="14" t="n">
        <v>22</v>
      </c>
      <c r="AB68" s="14" t="s">
        <v>177</v>
      </c>
      <c r="AC68" s="14" t="s">
        <v>177</v>
      </c>
      <c r="AD68" s="14" t="n">
        <v>14</v>
      </c>
      <c r="AE68" s="14" t="n">
        <v>14</v>
      </c>
    </row>
    <row r="69" customFormat="false" ht="15" hidden="false" customHeight="false" outlineLevel="0" collapsed="false">
      <c r="A69" s="2" t="n">
        <v>68</v>
      </c>
      <c r="B69" s="2" t="s">
        <v>9</v>
      </c>
      <c r="C69" s="2" t="s">
        <v>82</v>
      </c>
      <c r="D69" s="2" t="s">
        <v>67</v>
      </c>
      <c r="E69" s="11" t="s">
        <v>85</v>
      </c>
      <c r="F69" s="11" t="s">
        <v>86</v>
      </c>
      <c r="G69" s="2" t="n">
        <v>1</v>
      </c>
      <c r="H69" s="2" t="n">
        <v>0</v>
      </c>
      <c r="I69" s="12" t="n">
        <v>1</v>
      </c>
      <c r="J69" s="13" t="n">
        <v>-39</v>
      </c>
      <c r="K69" s="13" t="n">
        <v>199.95</v>
      </c>
      <c r="L69" s="13" t="n">
        <v>-3.58</v>
      </c>
      <c r="M69" s="13" t="n">
        <v>2</v>
      </c>
      <c r="N69" s="13" t="n">
        <v>12</v>
      </c>
      <c r="O69" s="13" t="n">
        <v>0</v>
      </c>
      <c r="P69" s="13" t="n">
        <v>1</v>
      </c>
      <c r="Q69" s="13" t="n">
        <v>0</v>
      </c>
      <c r="R69" s="14" t="n">
        <v>73</v>
      </c>
      <c r="S69" s="14" t="n">
        <v>34</v>
      </c>
      <c r="T69" s="14" t="n">
        <v>234.5</v>
      </c>
      <c r="U69" s="14" t="n">
        <v>34.55</v>
      </c>
      <c r="V69" s="14" t="n">
        <v>26.42</v>
      </c>
      <c r="W69" s="14" t="n">
        <v>30</v>
      </c>
      <c r="X69" s="14" t="n">
        <v>4</v>
      </c>
      <c r="Y69" s="14" t="n">
        <v>2</v>
      </c>
      <c r="Z69" s="14" t="n">
        <v>17</v>
      </c>
      <c r="AA69" s="14" t="n">
        <v>5</v>
      </c>
      <c r="AB69" s="14" t="s">
        <v>175</v>
      </c>
      <c r="AC69" s="14" t="s">
        <v>174</v>
      </c>
      <c r="AD69" s="14" t="n">
        <v>14</v>
      </c>
      <c r="AE69" s="14" t="n">
        <v>14</v>
      </c>
    </row>
    <row r="70" customFormat="false" ht="15" hidden="false" customHeight="false" outlineLevel="0" collapsed="false">
      <c r="A70" s="2" t="n">
        <v>69</v>
      </c>
      <c r="B70" s="2" t="s">
        <v>9</v>
      </c>
      <c r="C70" s="2" t="s">
        <v>82</v>
      </c>
      <c r="D70" s="2" t="s">
        <v>70</v>
      </c>
      <c r="E70" s="11" t="s">
        <v>83</v>
      </c>
      <c r="F70" s="11" t="s">
        <v>85</v>
      </c>
      <c r="G70" s="2" t="n">
        <v>0</v>
      </c>
      <c r="H70" s="2" t="n">
        <v>0</v>
      </c>
      <c r="I70" s="12" t="n">
        <v>0</v>
      </c>
      <c r="J70" s="13" t="n">
        <v>69</v>
      </c>
      <c r="K70" s="13" t="n">
        <v>1125.5</v>
      </c>
      <c r="L70" s="13" t="n">
        <v>0.2</v>
      </c>
      <c r="M70" s="13" t="n">
        <v>4</v>
      </c>
      <c r="N70" s="13" t="n">
        <v>5</v>
      </c>
      <c r="O70" s="13" t="n">
        <v>0</v>
      </c>
      <c r="P70" s="13" t="n">
        <v>2</v>
      </c>
      <c r="Q70" s="13" t="n">
        <v>0</v>
      </c>
      <c r="R70" s="14" t="n">
        <v>4</v>
      </c>
      <c r="S70" s="14" t="n">
        <v>73</v>
      </c>
      <c r="T70" s="14" t="n">
        <v>1360</v>
      </c>
      <c r="U70" s="14" t="n">
        <v>234.5</v>
      </c>
      <c r="V70" s="14" t="n">
        <v>26.62</v>
      </c>
      <c r="W70" s="14" t="n">
        <v>26.42</v>
      </c>
      <c r="X70" s="14" t="n">
        <v>8</v>
      </c>
      <c r="Y70" s="14" t="n">
        <v>4</v>
      </c>
      <c r="Z70" s="14" t="n">
        <v>22</v>
      </c>
      <c r="AA70" s="14" t="n">
        <v>17</v>
      </c>
      <c r="AB70" s="14" t="s">
        <v>177</v>
      </c>
      <c r="AC70" s="14" t="s">
        <v>175</v>
      </c>
      <c r="AD70" s="14" t="n">
        <v>6</v>
      </c>
      <c r="AE70" s="14" t="n">
        <v>6</v>
      </c>
    </row>
    <row r="71" customFormat="false" ht="15" hidden="false" customHeight="false" outlineLevel="0" collapsed="false">
      <c r="A71" s="2" t="n">
        <v>70</v>
      </c>
      <c r="B71" s="2" t="s">
        <v>9</v>
      </c>
      <c r="C71" s="2" t="s">
        <v>82</v>
      </c>
      <c r="D71" s="2" t="s">
        <v>70</v>
      </c>
      <c r="E71" s="11" t="s">
        <v>86</v>
      </c>
      <c r="F71" s="11" t="s">
        <v>84</v>
      </c>
      <c r="G71" s="2" t="n">
        <v>0</v>
      </c>
      <c r="H71" s="2" t="n">
        <v>1</v>
      </c>
      <c r="I71" s="12" t="n">
        <v>-1</v>
      </c>
      <c r="J71" s="13" t="n">
        <v>-23</v>
      </c>
      <c r="K71" s="13" t="n">
        <v>-352.75</v>
      </c>
      <c r="L71" s="13" t="n">
        <v>2.12</v>
      </c>
      <c r="M71" s="13" t="n">
        <v>-5</v>
      </c>
      <c r="N71" s="13" t="n">
        <v>-17</v>
      </c>
      <c r="O71" s="13" t="n">
        <v>0</v>
      </c>
      <c r="P71" s="13" t="n">
        <v>-3</v>
      </c>
      <c r="Q71" s="13" t="n">
        <v>0</v>
      </c>
      <c r="R71" s="14" t="n">
        <v>34</v>
      </c>
      <c r="S71" s="14" t="n">
        <v>11</v>
      </c>
      <c r="T71" s="14" t="n">
        <v>34.55</v>
      </c>
      <c r="U71" s="14" t="n">
        <v>387.3</v>
      </c>
      <c r="V71" s="14" t="n">
        <v>30</v>
      </c>
      <c r="W71" s="14" t="n">
        <v>27.88</v>
      </c>
      <c r="X71" s="14" t="n">
        <v>2</v>
      </c>
      <c r="Y71" s="14" t="n">
        <v>7</v>
      </c>
      <c r="Z71" s="14" t="n">
        <v>5</v>
      </c>
      <c r="AA71" s="14" t="n">
        <v>22</v>
      </c>
      <c r="AB71" s="14" t="s">
        <v>174</v>
      </c>
      <c r="AC71" s="14" t="s">
        <v>177</v>
      </c>
      <c r="AD71" s="14" t="n">
        <v>6</v>
      </c>
      <c r="AE71" s="14" t="n">
        <v>6</v>
      </c>
    </row>
    <row r="72" customFormat="false" ht="15" hidden="false" customHeight="false" outlineLevel="0" collapsed="false">
      <c r="A72" s="2" t="n">
        <v>71</v>
      </c>
      <c r="B72" s="2" t="s">
        <v>9</v>
      </c>
      <c r="C72" s="2" t="s">
        <v>82</v>
      </c>
      <c r="D72" s="2" t="s">
        <v>76</v>
      </c>
      <c r="E72" s="11" t="s">
        <v>86</v>
      </c>
      <c r="F72" s="11" t="s">
        <v>83</v>
      </c>
      <c r="G72" s="2" t="n">
        <v>0</v>
      </c>
      <c r="H72" s="2" t="n">
        <v>2</v>
      </c>
      <c r="I72" s="12" t="n">
        <v>-2</v>
      </c>
      <c r="J72" s="13" t="n">
        <v>-30</v>
      </c>
      <c r="K72" s="13" t="n">
        <v>-1325.45</v>
      </c>
      <c r="L72" s="13" t="n">
        <v>3.38</v>
      </c>
      <c r="M72" s="13" t="n">
        <v>-6</v>
      </c>
      <c r="N72" s="13" t="n">
        <v>-17</v>
      </c>
      <c r="O72" s="13" t="n">
        <v>0</v>
      </c>
      <c r="P72" s="13" t="n">
        <v>-3</v>
      </c>
      <c r="Q72" s="13" t="n">
        <v>0</v>
      </c>
      <c r="R72" s="14" t="n">
        <v>34</v>
      </c>
      <c r="S72" s="14" t="n">
        <v>4</v>
      </c>
      <c r="T72" s="14" t="n">
        <v>34.55</v>
      </c>
      <c r="U72" s="14" t="n">
        <v>1360</v>
      </c>
      <c r="V72" s="14" t="n">
        <v>30</v>
      </c>
      <c r="W72" s="14" t="n">
        <v>26.62</v>
      </c>
      <c r="X72" s="14" t="n">
        <v>2</v>
      </c>
      <c r="Y72" s="14" t="n">
        <v>8</v>
      </c>
      <c r="Z72" s="14" t="n">
        <v>5</v>
      </c>
      <c r="AA72" s="14" t="n">
        <v>22</v>
      </c>
      <c r="AB72" s="14" t="s">
        <v>174</v>
      </c>
      <c r="AC72" s="14" t="s">
        <v>177</v>
      </c>
      <c r="AD72" s="14" t="n">
        <v>4</v>
      </c>
      <c r="AE72" s="14" t="n">
        <v>4</v>
      </c>
    </row>
    <row r="73" customFormat="false" ht="15" hidden="false" customHeight="false" outlineLevel="0" collapsed="false">
      <c r="A73" s="2" t="n">
        <v>72</v>
      </c>
      <c r="B73" s="2" t="s">
        <v>9</v>
      </c>
      <c r="C73" s="2" t="s">
        <v>82</v>
      </c>
      <c r="D73" s="2" t="s">
        <v>76</v>
      </c>
      <c r="E73" s="11" t="s">
        <v>84</v>
      </c>
      <c r="F73" s="11" t="s">
        <v>85</v>
      </c>
      <c r="G73" s="2" t="n">
        <v>2</v>
      </c>
      <c r="H73" s="2" t="n">
        <v>1</v>
      </c>
      <c r="I73" s="12" t="n">
        <v>1</v>
      </c>
      <c r="J73" s="13" t="n">
        <v>62</v>
      </c>
      <c r="K73" s="13" t="n">
        <v>152.8</v>
      </c>
      <c r="L73" s="13" t="n">
        <v>1.46</v>
      </c>
      <c r="M73" s="13" t="n">
        <v>3</v>
      </c>
      <c r="N73" s="13" t="n">
        <v>5</v>
      </c>
      <c r="O73" s="13" t="n">
        <v>0</v>
      </c>
      <c r="P73" s="13" t="n">
        <v>2</v>
      </c>
      <c r="Q73" s="13" t="n">
        <v>0</v>
      </c>
      <c r="R73" s="14" t="n">
        <v>11</v>
      </c>
      <c r="S73" s="14" t="n">
        <v>73</v>
      </c>
      <c r="T73" s="14" t="n">
        <v>387.3</v>
      </c>
      <c r="U73" s="14" t="n">
        <v>234.5</v>
      </c>
      <c r="V73" s="14" t="n">
        <v>27.88</v>
      </c>
      <c r="W73" s="14" t="n">
        <v>26.42</v>
      </c>
      <c r="X73" s="14" t="n">
        <v>7</v>
      </c>
      <c r="Y73" s="14" t="n">
        <v>4</v>
      </c>
      <c r="Z73" s="14" t="n">
        <v>22</v>
      </c>
      <c r="AA73" s="14" t="n">
        <v>17</v>
      </c>
      <c r="AB73" s="14" t="s">
        <v>177</v>
      </c>
      <c r="AC73" s="14" t="s">
        <v>175</v>
      </c>
      <c r="AD73" s="14" t="n">
        <v>4</v>
      </c>
      <c r="AE73" s="14" t="n">
        <v>4</v>
      </c>
    </row>
    <row r="74" customFormat="false" ht="15" hidden="false" customHeight="false" outlineLevel="0" collapsed="false">
      <c r="A74" s="2" t="n">
        <v>73</v>
      </c>
      <c r="B74" s="2" t="s">
        <v>87</v>
      </c>
      <c r="C74" s="2" t="s">
        <v>180</v>
      </c>
      <c r="D74" s="2" t="s">
        <v>88</v>
      </c>
      <c r="E74" s="11" t="s">
        <v>20</v>
      </c>
      <c r="F74" s="11" t="s">
        <v>13</v>
      </c>
      <c r="G74" s="2" t="n">
        <v>1</v>
      </c>
      <c r="H74" s="2" t="n">
        <v>0</v>
      </c>
      <c r="I74" s="12" t="n">
        <v>1</v>
      </c>
      <c r="J74" s="13" t="n">
        <v>30</v>
      </c>
      <c r="K74" s="13" t="n">
        <v>149.4</v>
      </c>
      <c r="L74" s="13" t="n">
        <v>0.07</v>
      </c>
      <c r="M74" s="13" t="n">
        <v>0</v>
      </c>
      <c r="N74" s="13" t="n">
        <v>-6</v>
      </c>
      <c r="O74" s="13" t="n">
        <v>1</v>
      </c>
      <c r="P74" s="13" t="n">
        <v>-1</v>
      </c>
      <c r="Q74" s="13" t="n">
        <v>0</v>
      </c>
      <c r="R74" s="14" t="n">
        <v>30</v>
      </c>
      <c r="S74" s="14" t="n">
        <v>60</v>
      </c>
      <c r="T74" s="14" t="n">
        <v>198.65</v>
      </c>
      <c r="U74" s="14" t="n">
        <v>49.25</v>
      </c>
      <c r="V74" s="14" t="n">
        <v>26.42</v>
      </c>
      <c r="W74" s="14" t="n">
        <v>26.35</v>
      </c>
      <c r="X74" s="14" t="n">
        <v>2</v>
      </c>
      <c r="Y74" s="14" t="n">
        <v>2</v>
      </c>
      <c r="Z74" s="14" t="n">
        <v>0</v>
      </c>
      <c r="AA74" s="14" t="n">
        <v>6</v>
      </c>
      <c r="AB74" s="14" t="s">
        <v>174</v>
      </c>
      <c r="AC74" s="14" t="s">
        <v>175</v>
      </c>
      <c r="AD74" s="14" t="n">
        <v>4</v>
      </c>
      <c r="AE74" s="14" t="n">
        <v>4</v>
      </c>
    </row>
    <row r="75" customFormat="false" ht="15" hidden="false" customHeight="false" outlineLevel="0" collapsed="false">
      <c r="A75" s="2" t="n">
        <v>74</v>
      </c>
      <c r="B75" s="2" t="s">
        <v>87</v>
      </c>
      <c r="C75" s="2" t="s">
        <v>180</v>
      </c>
      <c r="D75" s="2" t="s">
        <v>89</v>
      </c>
      <c r="E75" s="11" t="s">
        <v>27</v>
      </c>
      <c r="F75" s="11" t="s">
        <v>46</v>
      </c>
      <c r="G75" s="2" t="n">
        <v>2</v>
      </c>
      <c r="H75" s="2" t="n">
        <v>1</v>
      </c>
      <c r="I75" s="12" t="n">
        <v>1</v>
      </c>
      <c r="J75" s="13" t="n">
        <v>12</v>
      </c>
      <c r="K75" s="13" t="n">
        <v>657.35</v>
      </c>
      <c r="L75" s="13" t="n">
        <v>1.46</v>
      </c>
      <c r="M75" s="13" t="n">
        <v>5</v>
      </c>
      <c r="N75" s="13" t="n">
        <v>-20</v>
      </c>
      <c r="O75" s="13" t="n">
        <v>0</v>
      </c>
      <c r="P75" s="13" t="n">
        <v>3</v>
      </c>
      <c r="Q75" s="13" t="n">
        <v>1</v>
      </c>
      <c r="R75" s="14" t="n">
        <v>6</v>
      </c>
      <c r="S75" s="14" t="n">
        <v>18</v>
      </c>
      <c r="T75" s="14" t="n">
        <v>928.2</v>
      </c>
      <c r="U75" s="14" t="n">
        <v>270.85</v>
      </c>
      <c r="V75" s="14" t="n">
        <v>28.65</v>
      </c>
      <c r="W75" s="14" t="n">
        <v>27.19</v>
      </c>
      <c r="X75" s="14" t="n">
        <v>8</v>
      </c>
      <c r="Y75" s="14" t="n">
        <v>3</v>
      </c>
      <c r="Z75" s="14" t="n">
        <v>7</v>
      </c>
      <c r="AA75" s="14" t="n">
        <v>27</v>
      </c>
      <c r="AB75" s="14" t="s">
        <v>178</v>
      </c>
      <c r="AC75" s="14" t="s">
        <v>176</v>
      </c>
      <c r="AD75" s="14" t="n">
        <v>5</v>
      </c>
      <c r="AE75" s="14" t="n">
        <v>4</v>
      </c>
    </row>
    <row r="76" customFormat="false" ht="15" hidden="false" customHeight="false" outlineLevel="0" collapsed="false">
      <c r="A76" s="2" t="n">
        <v>75</v>
      </c>
      <c r="B76" s="2" t="s">
        <v>87</v>
      </c>
      <c r="C76" s="2" t="s">
        <v>180</v>
      </c>
      <c r="D76" s="2" t="s">
        <v>89</v>
      </c>
      <c r="E76" s="11" t="s">
        <v>35</v>
      </c>
      <c r="F76" s="11" t="s">
        <v>40</v>
      </c>
      <c r="G76" s="2" t="n">
        <v>1</v>
      </c>
      <c r="H76" s="2" t="n">
        <v>1</v>
      </c>
      <c r="I76" s="12" t="n">
        <v>0</v>
      </c>
      <c r="J76" s="13" t="n">
        <v>-31</v>
      </c>
      <c r="K76" s="13" t="n">
        <v>-793.35</v>
      </c>
      <c r="L76" s="13" t="n">
        <v>1</v>
      </c>
      <c r="M76" s="13" t="n">
        <v>-5</v>
      </c>
      <c r="N76" s="13" t="n">
        <v>-9</v>
      </c>
      <c r="O76" s="13" t="n">
        <v>0</v>
      </c>
      <c r="P76" s="13" t="n">
        <v>-1</v>
      </c>
      <c r="Q76" s="13" t="n">
        <v>0</v>
      </c>
      <c r="R76" s="14" t="n">
        <v>41</v>
      </c>
      <c r="S76" s="14" t="n">
        <v>10</v>
      </c>
      <c r="T76" s="14" t="n">
        <v>153.65</v>
      </c>
      <c r="U76" s="14" t="n">
        <v>947</v>
      </c>
      <c r="V76" s="14" t="n">
        <v>28.54</v>
      </c>
      <c r="W76" s="14" t="n">
        <v>27.54</v>
      </c>
      <c r="X76" s="14" t="n">
        <v>3</v>
      </c>
      <c r="Y76" s="14" t="n">
        <v>8</v>
      </c>
      <c r="Z76" s="14" t="n">
        <v>4</v>
      </c>
      <c r="AA76" s="14" t="n">
        <v>13</v>
      </c>
      <c r="AB76" s="14" t="s">
        <v>178</v>
      </c>
      <c r="AC76" s="14" t="s">
        <v>177</v>
      </c>
      <c r="AD76" s="14" t="n">
        <v>4</v>
      </c>
      <c r="AE76" s="14" t="n">
        <v>4</v>
      </c>
    </row>
    <row r="77" customFormat="false" ht="15" hidden="false" customHeight="false" outlineLevel="0" collapsed="false">
      <c r="A77" s="2" t="n">
        <v>76</v>
      </c>
      <c r="B77" s="2" t="s">
        <v>87</v>
      </c>
      <c r="C77" s="2" t="s">
        <v>180</v>
      </c>
      <c r="D77" s="2" t="s">
        <v>91</v>
      </c>
      <c r="E77" s="11" t="s">
        <v>28</v>
      </c>
      <c r="F77" s="11" t="s">
        <v>45</v>
      </c>
      <c r="G77" s="2" t="n">
        <v>1</v>
      </c>
      <c r="H77" s="2" t="n">
        <v>1</v>
      </c>
      <c r="I77" s="12" t="n">
        <v>0</v>
      </c>
      <c r="J77" s="13" t="n">
        <v>1</v>
      </c>
      <c r="K77" s="13" t="n">
        <v>-306.5</v>
      </c>
      <c r="L77" s="13" t="n">
        <v>-1.35</v>
      </c>
      <c r="M77" s="13" t="n">
        <v>-2</v>
      </c>
      <c r="N77" s="13" t="n">
        <v>-3</v>
      </c>
      <c r="O77" s="13" t="n">
        <v>0</v>
      </c>
      <c r="P77" s="13" t="n">
        <v>-2</v>
      </c>
      <c r="Q77" s="13" t="n">
        <v>1</v>
      </c>
      <c r="R77" s="14" t="n">
        <v>7</v>
      </c>
      <c r="S77" s="14" t="n">
        <v>8</v>
      </c>
      <c r="T77" s="14" t="n">
        <v>447.7</v>
      </c>
      <c r="U77" s="14" t="n">
        <v>754.2</v>
      </c>
      <c r="V77" s="14" t="n">
        <v>25.92</v>
      </c>
      <c r="W77" s="14" t="n">
        <v>27.27</v>
      </c>
      <c r="X77" s="14" t="n">
        <v>5</v>
      </c>
      <c r="Y77" s="14" t="n">
        <v>7</v>
      </c>
      <c r="Z77" s="14" t="n">
        <v>20</v>
      </c>
      <c r="AA77" s="14" t="n">
        <v>23</v>
      </c>
      <c r="AB77" s="14" t="s">
        <v>175</v>
      </c>
      <c r="AC77" s="14" t="s">
        <v>177</v>
      </c>
      <c r="AD77" s="14" t="n">
        <v>6</v>
      </c>
      <c r="AE77" s="14" t="n">
        <v>5</v>
      </c>
    </row>
    <row r="78" customFormat="false" ht="15" hidden="false" customHeight="false" outlineLevel="0" collapsed="false">
      <c r="A78" s="2" t="n">
        <v>77</v>
      </c>
      <c r="B78" s="2" t="s">
        <v>87</v>
      </c>
      <c r="C78" s="2" t="s">
        <v>180</v>
      </c>
      <c r="D78" s="2" t="s">
        <v>91</v>
      </c>
      <c r="E78" s="11" t="s">
        <v>69</v>
      </c>
      <c r="F78" s="11" t="s">
        <v>42</v>
      </c>
      <c r="G78" s="2" t="n">
        <v>2</v>
      </c>
      <c r="H78" s="2" t="n">
        <v>1</v>
      </c>
      <c r="I78" s="12" t="n">
        <v>1</v>
      </c>
      <c r="J78" s="13" t="n">
        <v>2</v>
      </c>
      <c r="K78" s="13" t="n">
        <v>67.8</v>
      </c>
      <c r="L78" s="13" t="n">
        <v>1</v>
      </c>
      <c r="M78" s="13" t="n">
        <v>1</v>
      </c>
      <c r="N78" s="13" t="n">
        <v>7</v>
      </c>
      <c r="O78" s="13" t="n">
        <v>0</v>
      </c>
      <c r="P78" s="13" t="n">
        <v>2</v>
      </c>
      <c r="Q78" s="13" t="n">
        <v>-1</v>
      </c>
      <c r="R78" s="14" t="n">
        <v>31</v>
      </c>
      <c r="S78" s="14" t="n">
        <v>33</v>
      </c>
      <c r="T78" s="14" t="n">
        <v>589.9</v>
      </c>
      <c r="U78" s="14" t="n">
        <v>522.1</v>
      </c>
      <c r="V78" s="14" t="n">
        <v>26.35</v>
      </c>
      <c r="W78" s="14" t="n">
        <v>25.35</v>
      </c>
      <c r="X78" s="14" t="n">
        <v>3</v>
      </c>
      <c r="Y78" s="14" t="n">
        <v>2</v>
      </c>
      <c r="Z78" s="14" t="n">
        <v>32</v>
      </c>
      <c r="AA78" s="14" t="n">
        <v>25</v>
      </c>
      <c r="AB78" s="14" t="s">
        <v>177</v>
      </c>
      <c r="AC78" s="14" t="s">
        <v>175</v>
      </c>
      <c r="AD78" s="14" t="n">
        <v>4</v>
      </c>
      <c r="AE78" s="14" t="n">
        <v>5</v>
      </c>
    </row>
    <row r="79" customFormat="false" ht="15" hidden="false" customHeight="false" outlineLevel="0" collapsed="false">
      <c r="A79" s="2" t="n">
        <v>78</v>
      </c>
      <c r="B79" s="2" t="s">
        <v>87</v>
      </c>
      <c r="C79" s="2" t="s">
        <v>180</v>
      </c>
      <c r="D79" s="2" t="s">
        <v>93</v>
      </c>
      <c r="E79" s="11" t="s">
        <v>65</v>
      </c>
      <c r="F79" s="11" t="s">
        <v>48</v>
      </c>
      <c r="G79" s="2" t="n">
        <v>3</v>
      </c>
      <c r="H79" s="2" t="n">
        <v>0</v>
      </c>
      <c r="I79" s="12" t="n">
        <v>3</v>
      </c>
      <c r="J79" s="13" t="n">
        <v>35</v>
      </c>
      <c r="K79" s="13" t="n">
        <v>1113.92</v>
      </c>
      <c r="L79" s="13" t="n">
        <v>-0.42</v>
      </c>
      <c r="M79" s="13" t="n">
        <v>1</v>
      </c>
      <c r="N79" s="13" t="n">
        <v>17</v>
      </c>
      <c r="O79" s="13" t="n">
        <v>0</v>
      </c>
      <c r="P79" s="13" t="n">
        <v>0</v>
      </c>
      <c r="Q79" s="13" t="n">
        <v>-1</v>
      </c>
      <c r="R79" s="14" t="n">
        <v>3</v>
      </c>
      <c r="S79" s="14" t="n">
        <v>38</v>
      </c>
      <c r="T79" s="14" t="n">
        <v>1520</v>
      </c>
      <c r="U79" s="14" t="n">
        <v>406.08</v>
      </c>
      <c r="V79" s="14" t="n">
        <v>26.58</v>
      </c>
      <c r="W79" s="14" t="n">
        <v>27</v>
      </c>
      <c r="X79" s="14" t="n">
        <v>8</v>
      </c>
      <c r="Y79" s="14" t="n">
        <v>7</v>
      </c>
      <c r="Z79" s="14" t="n">
        <v>12</v>
      </c>
      <c r="AA79" s="14" t="n">
        <v>-5</v>
      </c>
      <c r="AB79" s="14" t="s">
        <v>177</v>
      </c>
      <c r="AC79" s="14" t="s">
        <v>177</v>
      </c>
      <c r="AD79" s="14" t="n">
        <v>5</v>
      </c>
      <c r="AE79" s="14" t="n">
        <v>6</v>
      </c>
    </row>
    <row r="80" customFormat="false" ht="15" hidden="false" customHeight="false" outlineLevel="0" collapsed="false">
      <c r="A80" s="2" t="n">
        <v>79</v>
      </c>
      <c r="B80" s="2" t="s">
        <v>87</v>
      </c>
      <c r="C80" s="2" t="s">
        <v>180</v>
      </c>
      <c r="D80" s="2" t="s">
        <v>93</v>
      </c>
      <c r="E80" s="11" t="s">
        <v>12</v>
      </c>
      <c r="F80" s="11" t="s">
        <v>43</v>
      </c>
      <c r="G80" s="2" t="n">
        <v>2</v>
      </c>
      <c r="H80" s="2" t="n">
        <v>0</v>
      </c>
      <c r="I80" s="12" t="n">
        <v>2</v>
      </c>
      <c r="J80" s="13" t="n">
        <v>9</v>
      </c>
      <c r="K80" s="13" t="n">
        <v>-176.85</v>
      </c>
      <c r="L80" s="13" t="n">
        <v>1.92</v>
      </c>
      <c r="M80" s="13" t="n">
        <v>1</v>
      </c>
      <c r="N80" s="13" t="n">
        <v>-9</v>
      </c>
      <c r="O80" s="13" t="n">
        <v>1</v>
      </c>
      <c r="P80" s="13" t="n">
        <v>-2</v>
      </c>
      <c r="Q80" s="13" t="n">
        <v>1</v>
      </c>
      <c r="R80" s="14" t="n">
        <v>14</v>
      </c>
      <c r="S80" s="14" t="n">
        <v>23</v>
      </c>
      <c r="T80" s="14" t="n">
        <v>191.85</v>
      </c>
      <c r="U80" s="14" t="n">
        <v>368.7</v>
      </c>
      <c r="V80" s="14" t="n">
        <v>27.5</v>
      </c>
      <c r="W80" s="14" t="n">
        <v>25.58</v>
      </c>
      <c r="X80" s="14" t="n">
        <v>4</v>
      </c>
      <c r="Y80" s="14" t="n">
        <v>3</v>
      </c>
      <c r="Z80" s="14" t="n">
        <v>0</v>
      </c>
      <c r="AA80" s="14" t="n">
        <v>9</v>
      </c>
      <c r="AB80" s="14" t="s">
        <v>174</v>
      </c>
      <c r="AC80" s="14" t="s">
        <v>178</v>
      </c>
      <c r="AD80" s="14" t="n">
        <v>7</v>
      </c>
      <c r="AE80" s="14" t="n">
        <v>6</v>
      </c>
    </row>
    <row r="81" customFormat="false" ht="15" hidden="false" customHeight="false" outlineLevel="0" collapsed="false">
      <c r="A81" s="2" t="n">
        <v>80</v>
      </c>
      <c r="B81" s="2" t="s">
        <v>87</v>
      </c>
      <c r="C81" s="2" t="s">
        <v>180</v>
      </c>
      <c r="D81" s="2" t="s">
        <v>93</v>
      </c>
      <c r="E81" s="11" t="s">
        <v>83</v>
      </c>
      <c r="F81" s="11" t="s">
        <v>79</v>
      </c>
      <c r="G81" s="2" t="n">
        <v>2</v>
      </c>
      <c r="H81" s="2" t="n">
        <v>1</v>
      </c>
      <c r="I81" s="12" t="n">
        <v>1</v>
      </c>
      <c r="J81" s="13" t="n">
        <v>42</v>
      </c>
      <c r="K81" s="13" t="n">
        <v>1216.1</v>
      </c>
      <c r="L81" s="13" t="n">
        <v>-1.88</v>
      </c>
      <c r="M81" s="13" t="n">
        <v>6</v>
      </c>
      <c r="N81" s="13" t="n">
        <v>15</v>
      </c>
      <c r="O81" s="13" t="n">
        <v>0</v>
      </c>
      <c r="P81" s="13" t="n">
        <v>2</v>
      </c>
      <c r="Q81" s="13" t="n">
        <v>0</v>
      </c>
      <c r="R81" s="14" t="n">
        <v>4</v>
      </c>
      <c r="S81" s="14" t="n">
        <v>46</v>
      </c>
      <c r="T81" s="14" t="n">
        <v>1360</v>
      </c>
      <c r="U81" s="14" t="n">
        <v>143.9</v>
      </c>
      <c r="V81" s="14" t="n">
        <v>26.62</v>
      </c>
      <c r="W81" s="14" t="n">
        <v>28.5</v>
      </c>
      <c r="X81" s="14" t="n">
        <v>8</v>
      </c>
      <c r="Y81" s="14" t="n">
        <v>2</v>
      </c>
      <c r="Z81" s="14" t="n">
        <v>22</v>
      </c>
      <c r="AA81" s="14" t="n">
        <v>7</v>
      </c>
      <c r="AB81" s="14" t="s">
        <v>177</v>
      </c>
      <c r="AC81" s="14" t="s">
        <v>175</v>
      </c>
      <c r="AD81" s="14" t="n">
        <v>4</v>
      </c>
      <c r="AE81" s="14" t="n">
        <v>4</v>
      </c>
    </row>
    <row r="82" customFormat="false" ht="15" hidden="false" customHeight="false" outlineLevel="0" collapsed="false">
      <c r="A82" s="2" t="n">
        <v>81</v>
      </c>
      <c r="B82" s="2" t="s">
        <v>87</v>
      </c>
      <c r="C82" s="2" t="s">
        <v>180</v>
      </c>
      <c r="D82" s="2" t="s">
        <v>94</v>
      </c>
      <c r="E82" s="11" t="s">
        <v>52</v>
      </c>
      <c r="F82" s="11" t="s">
        <v>66</v>
      </c>
      <c r="G82" s="2" t="n">
        <v>3</v>
      </c>
      <c r="H82" s="2" t="n">
        <v>2</v>
      </c>
      <c r="I82" s="12" t="n">
        <v>1</v>
      </c>
      <c r="J82" s="13" t="n">
        <v>6</v>
      </c>
      <c r="K82" s="13" t="n">
        <v>69.4</v>
      </c>
      <c r="L82" s="13" t="n">
        <v>0.5</v>
      </c>
      <c r="M82" s="13" t="n">
        <v>2</v>
      </c>
      <c r="N82" s="13" t="n">
        <v>3</v>
      </c>
      <c r="O82" s="13" t="n">
        <v>0</v>
      </c>
      <c r="P82" s="13" t="n">
        <v>2</v>
      </c>
      <c r="Q82" s="13" t="n">
        <v>0</v>
      </c>
      <c r="R82" s="14" t="n">
        <v>9</v>
      </c>
      <c r="S82" s="14" t="n">
        <v>15</v>
      </c>
      <c r="T82" s="14" t="n">
        <v>547.5</v>
      </c>
      <c r="U82" s="14" t="n">
        <v>478.1</v>
      </c>
      <c r="V82" s="14" t="n">
        <v>27.12</v>
      </c>
      <c r="W82" s="14" t="n">
        <v>26.62</v>
      </c>
      <c r="X82" s="14" t="n">
        <v>6</v>
      </c>
      <c r="Y82" s="14" t="n">
        <v>4</v>
      </c>
      <c r="Z82" s="14" t="n">
        <v>22</v>
      </c>
      <c r="AA82" s="14" t="n">
        <v>19</v>
      </c>
      <c r="AB82" s="14" t="s">
        <v>177</v>
      </c>
      <c r="AC82" s="14" t="s">
        <v>175</v>
      </c>
      <c r="AD82" s="14" t="n">
        <v>6</v>
      </c>
      <c r="AE82" s="14" t="n">
        <v>6</v>
      </c>
    </row>
    <row r="83" customFormat="false" ht="23.85" hidden="false" customHeight="false" outlineLevel="0" collapsed="false">
      <c r="A83" s="2" t="n">
        <v>82</v>
      </c>
      <c r="B83" s="2" t="s">
        <v>87</v>
      </c>
      <c r="C83" s="2" t="s">
        <v>180</v>
      </c>
      <c r="D83" s="2" t="s">
        <v>94</v>
      </c>
      <c r="E83" s="11" t="s">
        <v>34</v>
      </c>
      <c r="F83" s="11" t="s">
        <v>21</v>
      </c>
      <c r="G83" s="2" t="n">
        <v>2</v>
      </c>
      <c r="H83" s="2" t="n">
        <v>0</v>
      </c>
      <c r="I83" s="12" t="n">
        <v>2</v>
      </c>
      <c r="J83" s="13" t="n">
        <v>47</v>
      </c>
      <c r="K83" s="13" t="n">
        <v>239.2</v>
      </c>
      <c r="L83" s="13" t="n">
        <v>0.5</v>
      </c>
      <c r="M83" s="13" t="n">
        <v>4</v>
      </c>
      <c r="N83" s="13" t="n">
        <v>-10</v>
      </c>
      <c r="O83" s="13" t="n">
        <v>1</v>
      </c>
      <c r="P83" s="13" t="n">
        <v>-3</v>
      </c>
      <c r="Q83" s="13" t="n">
        <v>-1</v>
      </c>
      <c r="R83" s="14" t="n">
        <v>17</v>
      </c>
      <c r="S83" s="14" t="n">
        <v>64</v>
      </c>
      <c r="T83" s="14" t="n">
        <v>385.6</v>
      </c>
      <c r="U83" s="14" t="n">
        <v>146.4</v>
      </c>
      <c r="V83" s="14" t="n">
        <v>26.42</v>
      </c>
      <c r="W83" s="14" t="n">
        <v>25.92</v>
      </c>
      <c r="X83" s="14" t="n">
        <v>6</v>
      </c>
      <c r="Y83" s="14" t="n">
        <v>2</v>
      </c>
      <c r="Z83" s="14" t="n">
        <v>0</v>
      </c>
      <c r="AA83" s="14" t="n">
        <v>10</v>
      </c>
      <c r="AB83" s="14" t="s">
        <v>174</v>
      </c>
      <c r="AC83" s="14" t="s">
        <v>177</v>
      </c>
      <c r="AD83" s="14" t="n">
        <v>7</v>
      </c>
      <c r="AE83" s="14" t="n">
        <v>8</v>
      </c>
    </row>
    <row r="84" customFormat="false" ht="15" hidden="false" customHeight="false" outlineLevel="0" collapsed="false">
      <c r="A84" s="2" t="n">
        <v>83</v>
      </c>
      <c r="B84" s="2" t="s">
        <v>87</v>
      </c>
      <c r="C84" s="2" t="s">
        <v>180</v>
      </c>
      <c r="D84" s="2" t="s">
        <v>94</v>
      </c>
      <c r="E84" s="11" t="s">
        <v>59</v>
      </c>
      <c r="F84" s="11" t="s">
        <v>74</v>
      </c>
      <c r="G84" s="2" t="n">
        <v>3</v>
      </c>
      <c r="H84" s="2" t="n">
        <v>0</v>
      </c>
      <c r="I84" s="12" t="n">
        <v>3</v>
      </c>
      <c r="J84" s="13" t="n">
        <v>22</v>
      </c>
      <c r="K84" s="13" t="n">
        <v>974.8</v>
      </c>
      <c r="L84" s="13" t="n">
        <v>-1.93</v>
      </c>
      <c r="M84" s="13" t="n">
        <v>2</v>
      </c>
      <c r="N84" s="13" t="n">
        <v>1</v>
      </c>
      <c r="O84" s="13" t="n">
        <v>0</v>
      </c>
      <c r="P84" s="13" t="n">
        <v>0</v>
      </c>
      <c r="Q84" s="13" t="n">
        <v>1</v>
      </c>
      <c r="R84" s="14" t="n">
        <v>2</v>
      </c>
      <c r="S84" s="14" t="n">
        <v>24</v>
      </c>
      <c r="T84" s="14" t="n">
        <v>1220</v>
      </c>
      <c r="U84" s="14" t="n">
        <v>245.2</v>
      </c>
      <c r="V84" s="14" t="n">
        <v>26.19</v>
      </c>
      <c r="W84" s="14" t="n">
        <v>28.12</v>
      </c>
      <c r="X84" s="14" t="n">
        <v>8</v>
      </c>
      <c r="Y84" s="14" t="n">
        <v>6</v>
      </c>
      <c r="Z84" s="14" t="n">
        <v>19</v>
      </c>
      <c r="AA84" s="14" t="n">
        <v>18</v>
      </c>
      <c r="AB84" s="14" t="s">
        <v>177</v>
      </c>
      <c r="AC84" s="14" t="s">
        <v>177</v>
      </c>
      <c r="AD84" s="14" t="n">
        <v>6</v>
      </c>
      <c r="AE84" s="14" t="n">
        <v>5</v>
      </c>
    </row>
    <row r="85" customFormat="false" ht="15" hidden="false" customHeight="false" outlineLevel="0" collapsed="false">
      <c r="A85" s="2" t="n">
        <v>84</v>
      </c>
      <c r="B85" s="2" t="s">
        <v>87</v>
      </c>
      <c r="C85" s="2" t="s">
        <v>180</v>
      </c>
      <c r="D85" s="2" t="s">
        <v>94</v>
      </c>
      <c r="E85" s="11" t="s">
        <v>78</v>
      </c>
      <c r="F85" s="11" t="s">
        <v>84</v>
      </c>
      <c r="G85" s="2" t="n">
        <v>2</v>
      </c>
      <c r="H85" s="2" t="n">
        <v>1</v>
      </c>
      <c r="I85" s="12" t="n">
        <v>1</v>
      </c>
      <c r="J85" s="13" t="n">
        <v>6</v>
      </c>
      <c r="K85" s="13" t="n">
        <v>622.7</v>
      </c>
      <c r="L85" s="13" t="n">
        <v>-0.34</v>
      </c>
      <c r="M85" s="13" t="n">
        <v>-1</v>
      </c>
      <c r="N85" s="13" t="n">
        <v>-9</v>
      </c>
      <c r="O85" s="13" t="n">
        <v>0</v>
      </c>
      <c r="P85" s="13" t="n">
        <v>0</v>
      </c>
      <c r="Q85" s="13" t="n">
        <v>0</v>
      </c>
      <c r="R85" s="14" t="n">
        <v>5</v>
      </c>
      <c r="S85" s="14" t="n">
        <v>11</v>
      </c>
      <c r="T85" s="14" t="n">
        <v>1010</v>
      </c>
      <c r="U85" s="14" t="n">
        <v>387.3</v>
      </c>
      <c r="V85" s="14" t="n">
        <v>27.54</v>
      </c>
      <c r="W85" s="14" t="n">
        <v>27.88</v>
      </c>
      <c r="X85" s="14" t="n">
        <v>6</v>
      </c>
      <c r="Y85" s="14" t="n">
        <v>7</v>
      </c>
      <c r="Z85" s="14" t="n">
        <v>13</v>
      </c>
      <c r="AA85" s="14" t="n">
        <v>22</v>
      </c>
      <c r="AB85" s="14" t="s">
        <v>177</v>
      </c>
      <c r="AC85" s="14" t="s">
        <v>177</v>
      </c>
      <c r="AD85" s="14" t="n">
        <v>5</v>
      </c>
      <c r="AE85" s="14" t="n">
        <v>5</v>
      </c>
    </row>
    <row r="86" customFormat="false" ht="15" hidden="false" customHeight="false" outlineLevel="0" collapsed="false">
      <c r="A86" s="2" t="n">
        <v>85</v>
      </c>
      <c r="B86" s="2" t="s">
        <v>87</v>
      </c>
      <c r="C86" s="2" t="s">
        <v>180</v>
      </c>
      <c r="D86" s="2" t="s">
        <v>96</v>
      </c>
      <c r="E86" s="11" t="s">
        <v>24</v>
      </c>
      <c r="F86" s="11" t="s">
        <v>73</v>
      </c>
      <c r="G86" s="2" t="n">
        <v>2</v>
      </c>
      <c r="H86" s="2" t="n">
        <v>0</v>
      </c>
      <c r="I86" s="12" t="n">
        <v>2</v>
      </c>
      <c r="J86" s="13" t="n">
        <v>9</v>
      </c>
      <c r="K86" s="13" t="n">
        <v>75.6</v>
      </c>
      <c r="L86" s="13" t="n">
        <v>1.35</v>
      </c>
      <c r="M86" s="13" t="n">
        <v>2</v>
      </c>
      <c r="N86" s="13" t="n">
        <v>-4</v>
      </c>
      <c r="O86" s="13" t="n">
        <v>0</v>
      </c>
      <c r="P86" s="13" t="n">
        <v>2</v>
      </c>
      <c r="Q86" s="13" t="n">
        <v>3</v>
      </c>
      <c r="R86" s="14" t="n">
        <v>19</v>
      </c>
      <c r="S86" s="14" t="n">
        <v>28</v>
      </c>
      <c r="T86" s="14" t="n">
        <v>332.5</v>
      </c>
      <c r="U86" s="14" t="n">
        <v>256.9</v>
      </c>
      <c r="V86" s="14" t="n">
        <v>27.81</v>
      </c>
      <c r="W86" s="14" t="n">
        <v>26.46</v>
      </c>
      <c r="X86" s="14" t="n">
        <v>4</v>
      </c>
      <c r="Y86" s="14" t="n">
        <v>2</v>
      </c>
      <c r="Z86" s="14" t="n">
        <v>12</v>
      </c>
      <c r="AA86" s="14" t="n">
        <v>16</v>
      </c>
      <c r="AB86" s="14" t="s">
        <v>177</v>
      </c>
      <c r="AC86" s="14" t="s">
        <v>175</v>
      </c>
      <c r="AD86" s="14" t="n">
        <v>9</v>
      </c>
      <c r="AE86" s="14" t="n">
        <v>6</v>
      </c>
    </row>
    <row r="87" customFormat="false" ht="15" hidden="false" customHeight="false" outlineLevel="0" collapsed="false">
      <c r="A87" s="2" t="n">
        <v>86</v>
      </c>
      <c r="B87" s="2" t="s">
        <v>87</v>
      </c>
      <c r="C87" s="2" t="s">
        <v>180</v>
      </c>
      <c r="D87" s="2" t="s">
        <v>96</v>
      </c>
      <c r="E87" s="11" t="s">
        <v>53</v>
      </c>
      <c r="F87" s="11" t="s">
        <v>36</v>
      </c>
      <c r="G87" s="2" t="n">
        <v>1</v>
      </c>
      <c r="H87" s="2" t="n">
        <v>1</v>
      </c>
      <c r="I87" s="12" t="n">
        <v>0</v>
      </c>
      <c r="J87" s="13" t="n">
        <v>-2</v>
      </c>
      <c r="K87" s="13" t="n">
        <v>39.03</v>
      </c>
      <c r="L87" s="13" t="n">
        <v>1.81</v>
      </c>
      <c r="M87" s="13" t="n">
        <v>-1</v>
      </c>
      <c r="N87" s="13" t="n">
        <v>9</v>
      </c>
      <c r="O87" s="13" t="n">
        <v>0</v>
      </c>
      <c r="P87" s="13" t="n">
        <v>2</v>
      </c>
      <c r="Q87" s="13" t="n">
        <v>-1</v>
      </c>
      <c r="R87" s="14" t="n">
        <v>29</v>
      </c>
      <c r="S87" s="14" t="n">
        <v>27</v>
      </c>
      <c r="T87" s="14" t="n">
        <v>116.48</v>
      </c>
      <c r="U87" s="14" t="n">
        <v>77.45</v>
      </c>
      <c r="V87" s="14" t="n">
        <v>28.69</v>
      </c>
      <c r="W87" s="14" t="n">
        <v>26.88</v>
      </c>
      <c r="X87" s="14" t="n">
        <v>2</v>
      </c>
      <c r="Y87" s="14" t="n">
        <v>3</v>
      </c>
      <c r="Z87" s="14" t="n">
        <v>18</v>
      </c>
      <c r="AA87" s="14" t="n">
        <v>9</v>
      </c>
      <c r="AB87" s="14" t="s">
        <v>175</v>
      </c>
      <c r="AC87" s="14" t="s">
        <v>176</v>
      </c>
      <c r="AD87" s="14" t="n">
        <v>7</v>
      </c>
      <c r="AE87" s="14" t="n">
        <v>8</v>
      </c>
    </row>
    <row r="88" customFormat="false" ht="15" hidden="false" customHeight="false" outlineLevel="0" collapsed="false">
      <c r="A88" s="2" t="n">
        <v>87</v>
      </c>
      <c r="B88" s="2" t="s">
        <v>87</v>
      </c>
      <c r="C88" s="2" t="s">
        <v>180</v>
      </c>
      <c r="D88" s="2" t="s">
        <v>96</v>
      </c>
      <c r="E88" s="11" t="s">
        <v>72</v>
      </c>
      <c r="F88" s="11" t="s">
        <v>60</v>
      </c>
      <c r="G88" s="2" t="n">
        <v>3</v>
      </c>
      <c r="H88" s="2" t="n">
        <v>2</v>
      </c>
      <c r="I88" s="12" t="n">
        <v>1</v>
      </c>
      <c r="J88" s="13" t="n">
        <v>66</v>
      </c>
      <c r="K88" s="13" t="n">
        <v>758.25</v>
      </c>
      <c r="L88" s="13" t="n">
        <v>-0.61</v>
      </c>
      <c r="M88" s="13" t="n">
        <v>7</v>
      </c>
      <c r="N88" s="13" t="n">
        <v>13</v>
      </c>
      <c r="O88" s="13" t="n">
        <v>0</v>
      </c>
      <c r="P88" s="13" t="n">
        <v>1</v>
      </c>
      <c r="Q88" s="13" t="n">
        <v>-1</v>
      </c>
      <c r="R88" s="14" t="n">
        <v>1</v>
      </c>
      <c r="S88" s="14" t="n">
        <v>67</v>
      </c>
      <c r="T88" s="14" t="n">
        <v>807.5</v>
      </c>
      <c r="U88" s="14" t="n">
        <v>49.25</v>
      </c>
      <c r="V88" s="14" t="n">
        <v>28.62</v>
      </c>
      <c r="W88" s="14" t="n">
        <v>29.23</v>
      </c>
      <c r="X88" s="14" t="n">
        <v>8</v>
      </c>
      <c r="Y88" s="14" t="n">
        <v>1</v>
      </c>
      <c r="Z88" s="14" t="n">
        <v>21</v>
      </c>
      <c r="AA88" s="14" t="n">
        <v>8</v>
      </c>
      <c r="AB88" s="14" t="s">
        <v>178</v>
      </c>
      <c r="AC88" s="14" t="s">
        <v>175</v>
      </c>
      <c r="AD88" s="14" t="n">
        <v>6</v>
      </c>
      <c r="AE88" s="14" t="n">
        <v>7</v>
      </c>
    </row>
    <row r="89" customFormat="false" ht="15" hidden="false" customHeight="false" outlineLevel="0" collapsed="false">
      <c r="A89" s="2" t="n">
        <v>88</v>
      </c>
      <c r="B89" s="2" t="s">
        <v>87</v>
      </c>
      <c r="C89" s="2" t="s">
        <v>180</v>
      </c>
      <c r="D89" s="2" t="s">
        <v>96</v>
      </c>
      <c r="E89" s="11" t="s">
        <v>81</v>
      </c>
      <c r="F89" s="11" t="s">
        <v>85</v>
      </c>
      <c r="G89" s="2" t="n">
        <v>1</v>
      </c>
      <c r="H89" s="2" t="n">
        <v>0</v>
      </c>
      <c r="I89" s="12" t="n">
        <v>1</v>
      </c>
      <c r="J89" s="13" t="n">
        <v>60</v>
      </c>
      <c r="K89" s="13" t="n">
        <v>67.85</v>
      </c>
      <c r="L89" s="13" t="n">
        <v>3.16</v>
      </c>
      <c r="M89" s="13" t="n">
        <v>0</v>
      </c>
      <c r="N89" s="13" t="n">
        <v>-7</v>
      </c>
      <c r="O89" s="13" t="n">
        <v>0</v>
      </c>
      <c r="P89" s="13" t="n">
        <v>1</v>
      </c>
      <c r="Q89" s="13" t="n">
        <v>0</v>
      </c>
      <c r="R89" s="14" t="n">
        <v>13</v>
      </c>
      <c r="S89" s="14" t="n">
        <v>73</v>
      </c>
      <c r="T89" s="14" t="n">
        <v>302.35</v>
      </c>
      <c r="U89" s="14" t="n">
        <v>234.5</v>
      </c>
      <c r="V89" s="14" t="n">
        <v>29.58</v>
      </c>
      <c r="W89" s="14" t="n">
        <v>26.42</v>
      </c>
      <c r="X89" s="14" t="n">
        <v>4</v>
      </c>
      <c r="Y89" s="14" t="n">
        <v>4</v>
      </c>
      <c r="Z89" s="14" t="n">
        <v>10</v>
      </c>
      <c r="AA89" s="14" t="n">
        <v>17</v>
      </c>
      <c r="AB89" s="14" t="s">
        <v>178</v>
      </c>
      <c r="AC89" s="14" t="s">
        <v>175</v>
      </c>
      <c r="AD89" s="14" t="n">
        <v>6</v>
      </c>
      <c r="AE89" s="14" t="n">
        <v>6</v>
      </c>
    </row>
    <row r="90" customFormat="false" ht="15" hidden="false" customHeight="false" outlineLevel="0" collapsed="false">
      <c r="A90" s="2" t="n">
        <v>89</v>
      </c>
      <c r="B90" s="2" t="s">
        <v>99</v>
      </c>
      <c r="C90" s="2" t="s">
        <v>180</v>
      </c>
      <c r="D90" s="2" t="s">
        <v>100</v>
      </c>
      <c r="E90" s="11" t="s">
        <v>28</v>
      </c>
      <c r="F90" s="11" t="s">
        <v>20</v>
      </c>
      <c r="G90" s="2" t="n">
        <v>3</v>
      </c>
      <c r="H90" s="2" t="n">
        <v>0</v>
      </c>
      <c r="I90" s="12" t="n">
        <v>3</v>
      </c>
      <c r="J90" s="13" t="n">
        <v>23</v>
      </c>
      <c r="K90" s="13" t="n">
        <v>249.05</v>
      </c>
      <c r="L90" s="13" t="n">
        <v>-0.5</v>
      </c>
      <c r="M90" s="13" t="n">
        <v>3</v>
      </c>
      <c r="N90" s="13" t="n">
        <v>20</v>
      </c>
      <c r="O90" s="13" t="n">
        <v>-1</v>
      </c>
      <c r="P90" s="13" t="n">
        <v>1</v>
      </c>
      <c r="Q90" s="13" t="n">
        <v>-2</v>
      </c>
      <c r="R90" s="14" t="n">
        <v>7</v>
      </c>
      <c r="S90" s="14" t="n">
        <v>30</v>
      </c>
      <c r="T90" s="14" t="n">
        <v>447.7</v>
      </c>
      <c r="U90" s="14" t="n">
        <v>198.65</v>
      </c>
      <c r="V90" s="14" t="n">
        <v>25.92</v>
      </c>
      <c r="W90" s="14" t="n">
        <v>26.42</v>
      </c>
      <c r="X90" s="14" t="n">
        <v>5</v>
      </c>
      <c r="Y90" s="14" t="n">
        <v>2</v>
      </c>
      <c r="Z90" s="14" t="n">
        <v>20</v>
      </c>
      <c r="AA90" s="14" t="n">
        <v>0</v>
      </c>
      <c r="AB90" s="14" t="s">
        <v>175</v>
      </c>
      <c r="AC90" s="14" t="s">
        <v>174</v>
      </c>
      <c r="AD90" s="14" t="n">
        <v>4</v>
      </c>
      <c r="AE90" s="14" t="n">
        <v>6</v>
      </c>
    </row>
    <row r="91" customFormat="false" ht="15" hidden="false" customHeight="false" outlineLevel="0" collapsed="false">
      <c r="A91" s="2" t="n">
        <v>90</v>
      </c>
      <c r="B91" s="2" t="s">
        <v>99</v>
      </c>
      <c r="C91" s="2" t="s">
        <v>180</v>
      </c>
      <c r="D91" s="2" t="s">
        <v>100</v>
      </c>
      <c r="E91" s="11" t="s">
        <v>65</v>
      </c>
      <c r="F91" s="11" t="s">
        <v>35</v>
      </c>
      <c r="G91" s="2" t="n">
        <v>1</v>
      </c>
      <c r="H91" s="2" t="n">
        <v>0</v>
      </c>
      <c r="I91" s="12" t="n">
        <v>1</v>
      </c>
      <c r="J91" s="13" t="n">
        <v>38</v>
      </c>
      <c r="K91" s="13" t="n">
        <v>1366.35</v>
      </c>
      <c r="L91" s="13" t="n">
        <v>-1.96</v>
      </c>
      <c r="M91" s="13" t="n">
        <v>5</v>
      </c>
      <c r="N91" s="13" t="n">
        <v>8</v>
      </c>
      <c r="O91" s="13" t="n">
        <v>0</v>
      </c>
      <c r="P91" s="13" t="n">
        <v>1</v>
      </c>
      <c r="Q91" s="13" t="n">
        <v>-2</v>
      </c>
      <c r="R91" s="14" t="n">
        <v>3</v>
      </c>
      <c r="S91" s="14" t="n">
        <v>41</v>
      </c>
      <c r="T91" s="14" t="n">
        <v>1520</v>
      </c>
      <c r="U91" s="14" t="n">
        <v>153.65</v>
      </c>
      <c r="V91" s="14" t="n">
        <v>26.58</v>
      </c>
      <c r="W91" s="14" t="n">
        <v>28.54</v>
      </c>
      <c r="X91" s="14" t="n">
        <v>8</v>
      </c>
      <c r="Y91" s="14" t="n">
        <v>3</v>
      </c>
      <c r="Z91" s="14" t="n">
        <v>12</v>
      </c>
      <c r="AA91" s="14" t="n">
        <v>4</v>
      </c>
      <c r="AB91" s="14" t="s">
        <v>177</v>
      </c>
      <c r="AC91" s="14" t="s">
        <v>178</v>
      </c>
      <c r="AD91" s="14" t="n">
        <v>3</v>
      </c>
      <c r="AE91" s="14" t="n">
        <v>5</v>
      </c>
    </row>
    <row r="92" customFormat="false" ht="15" hidden="false" customHeight="false" outlineLevel="0" collapsed="false">
      <c r="A92" s="2" t="n">
        <v>91</v>
      </c>
      <c r="B92" s="2" t="s">
        <v>99</v>
      </c>
      <c r="C92" s="2" t="s">
        <v>180</v>
      </c>
      <c r="D92" s="2" t="s">
        <v>101</v>
      </c>
      <c r="E92" s="11" t="s">
        <v>69</v>
      </c>
      <c r="F92" s="11" t="s">
        <v>27</v>
      </c>
      <c r="G92" s="2" t="n">
        <v>2</v>
      </c>
      <c r="H92" s="2" t="n">
        <v>1</v>
      </c>
      <c r="I92" s="12" t="n">
        <v>1</v>
      </c>
      <c r="J92" s="13" t="n">
        <v>-25</v>
      </c>
      <c r="K92" s="13" t="n">
        <v>-338.3</v>
      </c>
      <c r="L92" s="13" t="n">
        <v>-2.3</v>
      </c>
      <c r="M92" s="13" t="n">
        <v>-5</v>
      </c>
      <c r="N92" s="13" t="n">
        <v>25</v>
      </c>
      <c r="O92" s="13" t="n">
        <v>0</v>
      </c>
      <c r="P92" s="13" t="n">
        <v>1</v>
      </c>
      <c r="Q92" s="13" t="n">
        <v>-1</v>
      </c>
      <c r="R92" s="14" t="n">
        <v>31</v>
      </c>
      <c r="S92" s="14" t="n">
        <v>6</v>
      </c>
      <c r="T92" s="14" t="n">
        <v>589.9</v>
      </c>
      <c r="U92" s="14" t="n">
        <v>928.2</v>
      </c>
      <c r="V92" s="14" t="n">
        <v>26.35</v>
      </c>
      <c r="W92" s="14" t="n">
        <v>28.65</v>
      </c>
      <c r="X92" s="14" t="n">
        <v>3</v>
      </c>
      <c r="Y92" s="14" t="n">
        <v>8</v>
      </c>
      <c r="Z92" s="14" t="n">
        <v>32</v>
      </c>
      <c r="AA92" s="14" t="n">
        <v>7</v>
      </c>
      <c r="AB92" s="14" t="s">
        <v>177</v>
      </c>
      <c r="AC92" s="14" t="s">
        <v>178</v>
      </c>
      <c r="AD92" s="14" t="n">
        <v>5</v>
      </c>
      <c r="AE92" s="14" t="n">
        <v>6</v>
      </c>
    </row>
    <row r="93" customFormat="false" ht="15" hidden="false" customHeight="false" outlineLevel="0" collapsed="false">
      <c r="A93" s="2" t="n">
        <v>92</v>
      </c>
      <c r="B93" s="2" t="s">
        <v>99</v>
      </c>
      <c r="C93" s="2" t="s">
        <v>180</v>
      </c>
      <c r="D93" s="2" t="s">
        <v>101</v>
      </c>
      <c r="E93" s="11" t="s">
        <v>83</v>
      </c>
      <c r="F93" s="11" t="s">
        <v>12</v>
      </c>
      <c r="G93" s="2" t="n">
        <v>3</v>
      </c>
      <c r="H93" s="2" t="n">
        <v>2</v>
      </c>
      <c r="I93" s="12" t="n">
        <v>1</v>
      </c>
      <c r="J93" s="13" t="n">
        <v>10</v>
      </c>
      <c r="K93" s="13" t="n">
        <v>1168.15</v>
      </c>
      <c r="L93" s="13" t="n">
        <v>-0.88</v>
      </c>
      <c r="M93" s="13" t="n">
        <v>4</v>
      </c>
      <c r="N93" s="13" t="n">
        <v>22</v>
      </c>
      <c r="O93" s="13" t="n">
        <v>-1</v>
      </c>
      <c r="P93" s="13" t="n">
        <v>3</v>
      </c>
      <c r="Q93" s="13" t="n">
        <v>0</v>
      </c>
      <c r="R93" s="14" t="n">
        <v>4</v>
      </c>
      <c r="S93" s="14" t="n">
        <v>14</v>
      </c>
      <c r="T93" s="14" t="n">
        <v>1360</v>
      </c>
      <c r="U93" s="14" t="n">
        <v>191.85</v>
      </c>
      <c r="V93" s="14" t="n">
        <v>26.62</v>
      </c>
      <c r="W93" s="14" t="n">
        <v>27.5</v>
      </c>
      <c r="X93" s="14" t="n">
        <v>8</v>
      </c>
      <c r="Y93" s="14" t="n">
        <v>4</v>
      </c>
      <c r="Z93" s="14" t="n">
        <v>22</v>
      </c>
      <c r="AA93" s="14" t="n">
        <v>0</v>
      </c>
      <c r="AB93" s="14" t="s">
        <v>177</v>
      </c>
      <c r="AC93" s="14" t="s">
        <v>174</v>
      </c>
      <c r="AD93" s="14" t="n">
        <v>4</v>
      </c>
      <c r="AE93" s="14" t="n">
        <v>4</v>
      </c>
    </row>
    <row r="94" customFormat="false" ht="15" hidden="false" customHeight="false" outlineLevel="0" collapsed="false">
      <c r="A94" s="2" t="n">
        <v>93</v>
      </c>
      <c r="B94" s="2" t="s">
        <v>99</v>
      </c>
      <c r="C94" s="2" t="s">
        <v>180</v>
      </c>
      <c r="D94" s="2" t="s">
        <v>102</v>
      </c>
      <c r="E94" s="11" t="s">
        <v>59</v>
      </c>
      <c r="F94" s="11" t="s">
        <v>78</v>
      </c>
      <c r="G94" s="2" t="n">
        <v>1</v>
      </c>
      <c r="H94" s="2" t="n">
        <v>0</v>
      </c>
      <c r="I94" s="12" t="n">
        <v>1</v>
      </c>
      <c r="J94" s="13" t="n">
        <v>3</v>
      </c>
      <c r="K94" s="13" t="n">
        <v>210</v>
      </c>
      <c r="L94" s="13" t="n">
        <v>-1.35</v>
      </c>
      <c r="M94" s="13" t="n">
        <v>2</v>
      </c>
      <c r="N94" s="13" t="n">
        <v>6</v>
      </c>
      <c r="O94" s="13" t="n">
        <v>0</v>
      </c>
      <c r="P94" s="13" t="n">
        <v>0</v>
      </c>
      <c r="Q94" s="13" t="n">
        <v>0</v>
      </c>
      <c r="R94" s="14" t="n">
        <v>2</v>
      </c>
      <c r="S94" s="14" t="n">
        <v>5</v>
      </c>
      <c r="T94" s="14" t="n">
        <v>1220</v>
      </c>
      <c r="U94" s="14" t="n">
        <v>1010</v>
      </c>
      <c r="V94" s="14" t="n">
        <v>26.19</v>
      </c>
      <c r="W94" s="14" t="n">
        <v>27.54</v>
      </c>
      <c r="X94" s="14" t="n">
        <v>8</v>
      </c>
      <c r="Y94" s="14" t="n">
        <v>6</v>
      </c>
      <c r="Z94" s="14" t="n">
        <v>19</v>
      </c>
      <c r="AA94" s="14" t="n">
        <v>13</v>
      </c>
      <c r="AB94" s="14" t="s">
        <v>177</v>
      </c>
      <c r="AC94" s="14" t="s">
        <v>177</v>
      </c>
      <c r="AD94" s="14" t="n">
        <v>4</v>
      </c>
      <c r="AE94" s="14" t="n">
        <v>4</v>
      </c>
    </row>
    <row r="95" customFormat="false" ht="15" hidden="false" customHeight="false" outlineLevel="0" collapsed="false">
      <c r="A95" s="2" t="n">
        <v>94</v>
      </c>
      <c r="B95" s="2" t="s">
        <v>99</v>
      </c>
      <c r="C95" s="2" t="s">
        <v>180</v>
      </c>
      <c r="D95" s="2" t="s">
        <v>102</v>
      </c>
      <c r="E95" s="11" t="s">
        <v>52</v>
      </c>
      <c r="F95" s="11" t="s">
        <v>34</v>
      </c>
      <c r="G95" s="2" t="n">
        <v>4</v>
      </c>
      <c r="H95" s="2" t="n">
        <v>1</v>
      </c>
      <c r="I95" s="12" t="n">
        <v>3</v>
      </c>
      <c r="J95" s="13" t="n">
        <v>8</v>
      </c>
      <c r="K95" s="13" t="n">
        <v>161.9</v>
      </c>
      <c r="L95" s="13" t="n">
        <v>0.7</v>
      </c>
      <c r="M95" s="13" t="n">
        <v>0</v>
      </c>
      <c r="N95" s="13" t="n">
        <v>22</v>
      </c>
      <c r="O95" s="13" t="n">
        <v>-1</v>
      </c>
      <c r="P95" s="13" t="n">
        <v>3</v>
      </c>
      <c r="Q95" s="13" t="n">
        <v>0</v>
      </c>
      <c r="R95" s="14" t="n">
        <v>9</v>
      </c>
      <c r="S95" s="14" t="n">
        <v>17</v>
      </c>
      <c r="T95" s="14" t="n">
        <v>547.5</v>
      </c>
      <c r="U95" s="14" t="n">
        <v>385.6</v>
      </c>
      <c r="V95" s="14" t="n">
        <v>27.12</v>
      </c>
      <c r="W95" s="14" t="n">
        <v>26.42</v>
      </c>
      <c r="X95" s="14" t="n">
        <v>6</v>
      </c>
      <c r="Y95" s="14" t="n">
        <v>6</v>
      </c>
      <c r="Z95" s="14" t="n">
        <v>22</v>
      </c>
      <c r="AA95" s="14" t="n">
        <v>0</v>
      </c>
      <c r="AB95" s="14" t="s">
        <v>177</v>
      </c>
      <c r="AC95" s="14" t="s">
        <v>174</v>
      </c>
      <c r="AD95" s="14" t="n">
        <v>4</v>
      </c>
      <c r="AE95" s="14" t="n">
        <v>4</v>
      </c>
    </row>
    <row r="96" customFormat="false" ht="15" hidden="false" customHeight="false" outlineLevel="0" collapsed="false">
      <c r="A96" s="2" t="n">
        <v>95</v>
      </c>
      <c r="B96" s="2" t="s">
        <v>99</v>
      </c>
      <c r="C96" s="2" t="s">
        <v>180</v>
      </c>
      <c r="D96" s="2" t="s">
        <v>103</v>
      </c>
      <c r="E96" s="11" t="s">
        <v>72</v>
      </c>
      <c r="F96" s="11" t="s">
        <v>53</v>
      </c>
      <c r="G96" s="2" t="n">
        <v>3</v>
      </c>
      <c r="H96" s="2" t="n">
        <v>2</v>
      </c>
      <c r="I96" s="12" t="n">
        <v>1</v>
      </c>
      <c r="J96" s="13" t="n">
        <v>28</v>
      </c>
      <c r="K96" s="13" t="n">
        <v>691.02</v>
      </c>
      <c r="L96" s="13" t="n">
        <v>-0.07</v>
      </c>
      <c r="M96" s="13" t="n">
        <v>6</v>
      </c>
      <c r="N96" s="13" t="n">
        <v>3</v>
      </c>
      <c r="O96" s="13" t="n">
        <v>0</v>
      </c>
      <c r="P96" s="13" t="n">
        <v>1</v>
      </c>
      <c r="Q96" s="13" t="n">
        <v>0</v>
      </c>
      <c r="R96" s="14" t="n">
        <v>1</v>
      </c>
      <c r="S96" s="14" t="n">
        <v>29</v>
      </c>
      <c r="T96" s="14" t="n">
        <v>807.5</v>
      </c>
      <c r="U96" s="14" t="n">
        <v>116.48</v>
      </c>
      <c r="V96" s="14" t="n">
        <v>28.62</v>
      </c>
      <c r="W96" s="14" t="n">
        <v>28.69</v>
      </c>
      <c r="X96" s="14" t="n">
        <v>8</v>
      </c>
      <c r="Y96" s="14" t="n">
        <v>2</v>
      </c>
      <c r="Z96" s="14" t="n">
        <v>21</v>
      </c>
      <c r="AA96" s="14" t="n">
        <v>18</v>
      </c>
      <c r="AB96" s="14" t="s">
        <v>178</v>
      </c>
      <c r="AC96" s="14" t="s">
        <v>175</v>
      </c>
      <c r="AD96" s="14" t="n">
        <v>4</v>
      </c>
      <c r="AE96" s="14" t="n">
        <v>4</v>
      </c>
    </row>
    <row r="97" customFormat="false" ht="15" hidden="false" customHeight="false" outlineLevel="0" collapsed="false">
      <c r="A97" s="2" t="n">
        <v>96</v>
      </c>
      <c r="B97" s="2" t="s">
        <v>99</v>
      </c>
      <c r="C97" s="2" t="s">
        <v>180</v>
      </c>
      <c r="D97" s="2" t="s">
        <v>103</v>
      </c>
      <c r="E97" s="11" t="s">
        <v>24</v>
      </c>
      <c r="F97" s="11" t="s">
        <v>81</v>
      </c>
      <c r="G97" s="2" t="n">
        <v>0</v>
      </c>
      <c r="H97" s="2" t="n">
        <v>0</v>
      </c>
      <c r="I97" s="12" t="n">
        <v>0</v>
      </c>
      <c r="J97" s="13" t="n">
        <v>-6</v>
      </c>
      <c r="K97" s="13" t="n">
        <v>30.15</v>
      </c>
      <c r="L97" s="13" t="n">
        <v>-1.77</v>
      </c>
      <c r="M97" s="13" t="n">
        <v>0</v>
      </c>
      <c r="N97" s="13" t="n">
        <v>2</v>
      </c>
      <c r="O97" s="13" t="n">
        <v>0</v>
      </c>
      <c r="P97" s="13" t="n">
        <v>1</v>
      </c>
      <c r="Q97" s="13" t="n">
        <v>0</v>
      </c>
      <c r="R97" s="14" t="n">
        <v>19</v>
      </c>
      <c r="S97" s="14" t="n">
        <v>13</v>
      </c>
      <c r="T97" s="14" t="n">
        <v>332.5</v>
      </c>
      <c r="U97" s="14" t="n">
        <v>302.35</v>
      </c>
      <c r="V97" s="14" t="n">
        <v>27.81</v>
      </c>
      <c r="W97" s="14" t="n">
        <v>29.58</v>
      </c>
      <c r="X97" s="14" t="n">
        <v>4</v>
      </c>
      <c r="Y97" s="14" t="n">
        <v>4</v>
      </c>
      <c r="Z97" s="14" t="n">
        <v>12</v>
      </c>
      <c r="AA97" s="14" t="n">
        <v>10</v>
      </c>
      <c r="AB97" s="14" t="s">
        <v>177</v>
      </c>
      <c r="AC97" s="14" t="s">
        <v>178</v>
      </c>
      <c r="AD97" s="14" t="n">
        <v>4</v>
      </c>
      <c r="AE97" s="14" t="n">
        <v>4</v>
      </c>
    </row>
    <row r="98" customFormat="false" ht="15" hidden="false" customHeight="false" outlineLevel="0" collapsed="false">
      <c r="A98" s="2" t="n">
        <v>97</v>
      </c>
      <c r="B98" s="2" t="s">
        <v>105</v>
      </c>
      <c r="C98" s="2" t="s">
        <v>180</v>
      </c>
      <c r="D98" s="2" t="s">
        <v>106</v>
      </c>
      <c r="E98" s="11" t="s">
        <v>65</v>
      </c>
      <c r="F98" s="11" t="s">
        <v>28</v>
      </c>
      <c r="G98" s="2" t="n">
        <v>2</v>
      </c>
      <c r="H98" s="2" t="n">
        <v>0</v>
      </c>
      <c r="I98" s="12" t="n">
        <v>2</v>
      </c>
      <c r="J98" s="13" t="n">
        <v>4</v>
      </c>
      <c r="K98" s="13" t="n">
        <v>1072.3</v>
      </c>
      <c r="L98" s="13" t="n">
        <v>0.66</v>
      </c>
      <c r="M98" s="13" t="n">
        <v>3</v>
      </c>
      <c r="N98" s="13" t="n">
        <v>-8</v>
      </c>
      <c r="O98" s="13" t="n">
        <v>0</v>
      </c>
      <c r="P98" s="13" t="n">
        <v>2</v>
      </c>
      <c r="Q98" s="13" t="n">
        <v>0</v>
      </c>
      <c r="R98" s="14" t="n">
        <v>3</v>
      </c>
      <c r="S98" s="14" t="n">
        <v>7</v>
      </c>
      <c r="T98" s="14" t="n">
        <v>1520</v>
      </c>
      <c r="U98" s="14" t="n">
        <v>447.7</v>
      </c>
      <c r="V98" s="14" t="n">
        <v>26.58</v>
      </c>
      <c r="W98" s="14" t="n">
        <v>25.92</v>
      </c>
      <c r="X98" s="14" t="n">
        <v>8</v>
      </c>
      <c r="Y98" s="14" t="n">
        <v>5</v>
      </c>
      <c r="Z98" s="14" t="n">
        <v>12</v>
      </c>
      <c r="AA98" s="14" t="n">
        <v>20</v>
      </c>
      <c r="AB98" s="14" t="s">
        <v>177</v>
      </c>
      <c r="AC98" s="14" t="s">
        <v>175</v>
      </c>
      <c r="AD98" s="14" t="n">
        <v>5</v>
      </c>
      <c r="AE98" s="14" t="n">
        <v>5</v>
      </c>
    </row>
    <row r="99" customFormat="false" ht="15" hidden="false" customHeight="false" outlineLevel="0" collapsed="false">
      <c r="A99" s="2" t="n">
        <v>98</v>
      </c>
      <c r="B99" s="2" t="s">
        <v>105</v>
      </c>
      <c r="C99" s="2" t="s">
        <v>180</v>
      </c>
      <c r="D99" s="2" t="s">
        <v>107</v>
      </c>
      <c r="E99" s="11" t="s">
        <v>59</v>
      </c>
      <c r="F99" s="11" t="s">
        <v>52</v>
      </c>
      <c r="G99" s="2" t="n">
        <v>2</v>
      </c>
      <c r="H99" s="2" t="n">
        <v>1</v>
      </c>
      <c r="I99" s="12" t="n">
        <v>1</v>
      </c>
      <c r="J99" s="13" t="n">
        <v>7</v>
      </c>
      <c r="K99" s="13" t="n">
        <v>672.5</v>
      </c>
      <c r="L99" s="13" t="n">
        <v>-0.93</v>
      </c>
      <c r="M99" s="13" t="n">
        <v>2</v>
      </c>
      <c r="N99" s="13" t="n">
        <v>-3</v>
      </c>
      <c r="O99" s="13" t="n">
        <v>0</v>
      </c>
      <c r="P99" s="13" t="n">
        <v>0</v>
      </c>
      <c r="Q99" s="13" t="n">
        <v>0</v>
      </c>
      <c r="R99" s="14" t="n">
        <v>2</v>
      </c>
      <c r="S99" s="14" t="n">
        <v>9</v>
      </c>
      <c r="T99" s="14" t="n">
        <v>1220</v>
      </c>
      <c r="U99" s="14" t="n">
        <v>547.5</v>
      </c>
      <c r="V99" s="14" t="n">
        <v>26.19</v>
      </c>
      <c r="W99" s="14" t="n">
        <v>27.12</v>
      </c>
      <c r="X99" s="14" t="n">
        <v>8</v>
      </c>
      <c r="Y99" s="14" t="n">
        <v>6</v>
      </c>
      <c r="Z99" s="14" t="n">
        <v>19</v>
      </c>
      <c r="AA99" s="14" t="n">
        <v>22</v>
      </c>
      <c r="AB99" s="14" t="s">
        <v>177</v>
      </c>
      <c r="AC99" s="14" t="s">
        <v>177</v>
      </c>
      <c r="AD99" s="14" t="n">
        <v>4</v>
      </c>
      <c r="AE99" s="14" t="n">
        <v>4</v>
      </c>
    </row>
    <row r="100" customFormat="false" ht="15" hidden="false" customHeight="false" outlineLevel="0" collapsed="false">
      <c r="A100" s="2" t="n">
        <v>99</v>
      </c>
      <c r="B100" s="2" t="s">
        <v>105</v>
      </c>
      <c r="C100" s="2" t="s">
        <v>180</v>
      </c>
      <c r="D100" s="2" t="s">
        <v>107</v>
      </c>
      <c r="E100" s="11" t="s">
        <v>83</v>
      </c>
      <c r="F100" s="11" t="s">
        <v>69</v>
      </c>
      <c r="G100" s="2" t="n">
        <v>2</v>
      </c>
      <c r="H100" s="2" t="n">
        <v>1</v>
      </c>
      <c r="I100" s="12" t="n">
        <v>1</v>
      </c>
      <c r="J100" s="13" t="n">
        <v>27</v>
      </c>
      <c r="K100" s="13" t="n">
        <v>770.1</v>
      </c>
      <c r="L100" s="13" t="n">
        <v>0.27</v>
      </c>
      <c r="M100" s="13" t="n">
        <v>5</v>
      </c>
      <c r="N100" s="13" t="n">
        <v>-10</v>
      </c>
      <c r="O100" s="13" t="n">
        <v>0</v>
      </c>
      <c r="P100" s="13" t="n">
        <v>0</v>
      </c>
      <c r="Q100" s="13" t="n">
        <v>0</v>
      </c>
      <c r="R100" s="14" t="n">
        <v>4</v>
      </c>
      <c r="S100" s="14" t="n">
        <v>31</v>
      </c>
      <c r="T100" s="14" t="n">
        <v>1360</v>
      </c>
      <c r="U100" s="14" t="n">
        <v>589.9</v>
      </c>
      <c r="V100" s="14" t="n">
        <v>26.62</v>
      </c>
      <c r="W100" s="14" t="n">
        <v>26.35</v>
      </c>
      <c r="X100" s="14" t="n">
        <v>8</v>
      </c>
      <c r="Y100" s="14" t="n">
        <v>3</v>
      </c>
      <c r="Z100" s="14" t="n">
        <v>22</v>
      </c>
      <c r="AA100" s="14" t="n">
        <v>32</v>
      </c>
      <c r="AB100" s="14" t="s">
        <v>177</v>
      </c>
      <c r="AC100" s="14" t="s">
        <v>177</v>
      </c>
      <c r="AD100" s="14" t="n">
        <v>5</v>
      </c>
      <c r="AE100" s="14" t="n">
        <v>5</v>
      </c>
    </row>
    <row r="101" customFormat="false" ht="15" hidden="false" customHeight="false" outlineLevel="0" collapsed="false">
      <c r="A101" s="2" t="n">
        <v>100</v>
      </c>
      <c r="B101" s="2" t="s">
        <v>105</v>
      </c>
      <c r="C101" s="2" t="s">
        <v>180</v>
      </c>
      <c r="D101" s="2" t="s">
        <v>109</v>
      </c>
      <c r="E101" s="11" t="s">
        <v>72</v>
      </c>
      <c r="F101" s="11" t="s">
        <v>24</v>
      </c>
      <c r="G101" s="2" t="n">
        <v>3</v>
      </c>
      <c r="H101" s="2" t="n">
        <v>1</v>
      </c>
      <c r="I101" s="12" t="n">
        <v>2</v>
      </c>
      <c r="J101" s="13" t="n">
        <v>18</v>
      </c>
      <c r="K101" s="13" t="n">
        <v>475</v>
      </c>
      <c r="L101" s="13" t="n">
        <v>0.81</v>
      </c>
      <c r="M101" s="13" t="n">
        <v>4</v>
      </c>
      <c r="N101" s="13" t="n">
        <v>9</v>
      </c>
      <c r="O101" s="13" t="n">
        <v>0</v>
      </c>
      <c r="P101" s="13" t="n">
        <v>-1</v>
      </c>
      <c r="Q101" s="13" t="n">
        <v>0</v>
      </c>
      <c r="R101" s="14" t="n">
        <v>1</v>
      </c>
      <c r="S101" s="14" t="n">
        <v>19</v>
      </c>
      <c r="T101" s="14" t="n">
        <v>807.5</v>
      </c>
      <c r="U101" s="14" t="n">
        <v>332.5</v>
      </c>
      <c r="V101" s="14" t="n">
        <v>28.62</v>
      </c>
      <c r="W101" s="14" t="n">
        <v>27.81</v>
      </c>
      <c r="X101" s="14" t="n">
        <v>8</v>
      </c>
      <c r="Y101" s="14" t="n">
        <v>4</v>
      </c>
      <c r="Z101" s="14" t="n">
        <v>21</v>
      </c>
      <c r="AA101" s="14" t="n">
        <v>12</v>
      </c>
      <c r="AB101" s="14" t="s">
        <v>178</v>
      </c>
      <c r="AC101" s="14" t="s">
        <v>177</v>
      </c>
      <c r="AD101" s="14" t="n">
        <v>4</v>
      </c>
      <c r="AE101" s="14" t="n">
        <v>4</v>
      </c>
    </row>
    <row r="102" customFormat="false" ht="15" hidden="false" customHeight="false" outlineLevel="0" collapsed="false">
      <c r="A102" s="2" t="n">
        <v>101</v>
      </c>
      <c r="B102" s="2" t="s">
        <v>110</v>
      </c>
      <c r="C102" s="2" t="s">
        <v>180</v>
      </c>
      <c r="D102" s="2" t="s">
        <v>111</v>
      </c>
      <c r="E102" s="11" t="s">
        <v>59</v>
      </c>
      <c r="F102" s="11" t="s">
        <v>65</v>
      </c>
      <c r="G102" s="2" t="n">
        <v>2</v>
      </c>
      <c r="H102" s="2" t="n">
        <v>0</v>
      </c>
      <c r="I102" s="12" t="n">
        <v>2</v>
      </c>
      <c r="J102" s="13" t="n">
        <v>1</v>
      </c>
      <c r="K102" s="13" t="n">
        <v>-300</v>
      </c>
      <c r="L102" s="13" t="n">
        <v>-0.39</v>
      </c>
      <c r="M102" s="13" t="n">
        <v>0</v>
      </c>
      <c r="N102" s="13" t="n">
        <v>7</v>
      </c>
      <c r="O102" s="13" t="n">
        <v>0</v>
      </c>
      <c r="P102" s="13" t="n">
        <v>0</v>
      </c>
      <c r="Q102" s="13" t="n">
        <v>-1</v>
      </c>
      <c r="R102" s="14" t="n">
        <v>2</v>
      </c>
      <c r="S102" s="14" t="n">
        <v>3</v>
      </c>
      <c r="T102" s="14" t="n">
        <v>1220</v>
      </c>
      <c r="U102" s="14" t="n">
        <v>1520</v>
      </c>
      <c r="V102" s="14" t="n">
        <v>26.19</v>
      </c>
      <c r="W102" s="14" t="n">
        <v>26.58</v>
      </c>
      <c r="X102" s="14" t="n">
        <v>8</v>
      </c>
      <c r="Y102" s="14" t="n">
        <v>8</v>
      </c>
      <c r="Z102" s="14" t="n">
        <v>19</v>
      </c>
      <c r="AA102" s="14" t="n">
        <v>12</v>
      </c>
      <c r="AB102" s="14" t="s">
        <v>177</v>
      </c>
      <c r="AC102" s="14" t="s">
        <v>177</v>
      </c>
      <c r="AD102" s="14" t="n">
        <v>4</v>
      </c>
      <c r="AE102" s="14" t="n">
        <v>5</v>
      </c>
    </row>
    <row r="103" customFormat="false" ht="15" hidden="false" customHeight="false" outlineLevel="0" collapsed="false">
      <c r="A103" s="2" t="n">
        <v>102</v>
      </c>
      <c r="B103" s="2" t="s">
        <v>110</v>
      </c>
      <c r="C103" s="2" t="s">
        <v>180</v>
      </c>
      <c r="D103" s="2" t="s">
        <v>112</v>
      </c>
      <c r="E103" s="11" t="s">
        <v>72</v>
      </c>
      <c r="F103" s="11" t="s">
        <v>83</v>
      </c>
      <c r="G103" s="2" t="n">
        <v>2</v>
      </c>
      <c r="H103" s="2" t="n">
        <v>1</v>
      </c>
      <c r="I103" s="12" t="n">
        <v>1</v>
      </c>
      <c r="J103" s="13" t="n">
        <v>3</v>
      </c>
      <c r="K103" s="13" t="n">
        <v>-552.5</v>
      </c>
      <c r="L103" s="13" t="n">
        <v>2</v>
      </c>
      <c r="M103" s="13" t="n">
        <v>0</v>
      </c>
      <c r="N103" s="13" t="n">
        <v>-1</v>
      </c>
      <c r="O103" s="13" t="n">
        <v>0</v>
      </c>
      <c r="P103" s="13" t="n">
        <v>-1</v>
      </c>
      <c r="Q103" s="13" t="n">
        <v>-1</v>
      </c>
      <c r="R103" s="14" t="n">
        <v>1</v>
      </c>
      <c r="S103" s="14" t="n">
        <v>4</v>
      </c>
      <c r="T103" s="14" t="n">
        <v>807.5</v>
      </c>
      <c r="U103" s="14" t="n">
        <v>1360</v>
      </c>
      <c r="V103" s="14" t="n">
        <v>28.62</v>
      </c>
      <c r="W103" s="14" t="n">
        <v>26.62</v>
      </c>
      <c r="X103" s="14" t="n">
        <v>8</v>
      </c>
      <c r="Y103" s="14" t="n">
        <v>8</v>
      </c>
      <c r="Z103" s="14" t="n">
        <v>21</v>
      </c>
      <c r="AA103" s="14" t="n">
        <v>22</v>
      </c>
      <c r="AB103" s="14" t="s">
        <v>178</v>
      </c>
      <c r="AC103" s="14" t="s">
        <v>177</v>
      </c>
      <c r="AD103" s="14" t="n">
        <v>4</v>
      </c>
      <c r="AE103" s="14" t="n">
        <v>5</v>
      </c>
    </row>
    <row r="104" customFormat="false" ht="15" hidden="false" customHeight="false" outlineLevel="0" collapsed="false">
      <c r="A104" s="2" t="n">
        <v>103</v>
      </c>
      <c r="B104" s="2" t="s">
        <v>113</v>
      </c>
      <c r="C104" s="2" t="s">
        <v>180</v>
      </c>
      <c r="D104" s="2" t="s">
        <v>114</v>
      </c>
      <c r="E104" s="11" t="s">
        <v>83</v>
      </c>
      <c r="F104" s="11" t="s">
        <v>65</v>
      </c>
      <c r="G104" s="2" t="n">
        <v>6</v>
      </c>
      <c r="H104" s="2" t="n">
        <v>4</v>
      </c>
      <c r="I104" s="12" t="n">
        <v>2</v>
      </c>
      <c r="J104" s="13" t="n">
        <v>-1</v>
      </c>
      <c r="K104" s="13" t="n">
        <v>-160</v>
      </c>
      <c r="L104" s="13" t="n">
        <v>0.04</v>
      </c>
      <c r="M104" s="13" t="n">
        <v>0</v>
      </c>
      <c r="N104" s="13" t="n">
        <v>10</v>
      </c>
      <c r="O104" s="13" t="n">
        <v>0</v>
      </c>
      <c r="P104" s="13" t="n">
        <v>0</v>
      </c>
      <c r="Q104" s="13" t="n">
        <v>-1</v>
      </c>
      <c r="R104" s="14" t="n">
        <v>4</v>
      </c>
      <c r="S104" s="14" t="n">
        <v>3</v>
      </c>
      <c r="T104" s="14" t="n">
        <v>1360</v>
      </c>
      <c r="U104" s="14" t="n">
        <v>1520</v>
      </c>
      <c r="V104" s="14" t="n">
        <v>26.62</v>
      </c>
      <c r="W104" s="14" t="n">
        <v>26.58</v>
      </c>
      <c r="X104" s="14" t="n">
        <v>8</v>
      </c>
      <c r="Y104" s="14" t="n">
        <v>8</v>
      </c>
      <c r="Z104" s="14" t="n">
        <v>22</v>
      </c>
      <c r="AA104" s="14" t="n">
        <v>12</v>
      </c>
      <c r="AB104" s="14" t="s">
        <v>177</v>
      </c>
      <c r="AC104" s="14" t="s">
        <v>177</v>
      </c>
      <c r="AD104" s="14" t="n">
        <v>3</v>
      </c>
      <c r="AE104" s="14" t="n">
        <v>4</v>
      </c>
    </row>
    <row r="105" customFormat="false" ht="15" hidden="false" customHeight="false" outlineLevel="0" collapsed="false">
      <c r="A105" s="2" t="n">
        <v>104</v>
      </c>
      <c r="B105" s="2" t="s">
        <v>115</v>
      </c>
      <c r="C105" s="2" t="s">
        <v>180</v>
      </c>
      <c r="D105" s="2" t="s">
        <v>116</v>
      </c>
      <c r="E105" s="11" t="s">
        <v>59</v>
      </c>
      <c r="F105" s="11" t="s">
        <v>72</v>
      </c>
      <c r="G105" s="2" t="n">
        <v>1</v>
      </c>
      <c r="H105" s="2" t="n">
        <v>0</v>
      </c>
      <c r="I105" s="12" t="n">
        <v>1</v>
      </c>
      <c r="J105" s="13" t="n">
        <v>-1</v>
      </c>
      <c r="K105" s="13" t="n">
        <v>412.5</v>
      </c>
      <c r="L105" s="13" t="n">
        <v>-2.43</v>
      </c>
      <c r="M105" s="13" t="n">
        <v>0</v>
      </c>
      <c r="N105" s="13" t="n">
        <v>-2</v>
      </c>
      <c r="O105" s="13" t="n">
        <v>0</v>
      </c>
      <c r="P105" s="13" t="n">
        <v>1</v>
      </c>
      <c r="Q105" s="13" t="n">
        <v>1</v>
      </c>
      <c r="R105" s="14" t="n">
        <v>2</v>
      </c>
      <c r="S105" s="14" t="n">
        <v>1</v>
      </c>
      <c r="T105" s="14" t="n">
        <v>1220</v>
      </c>
      <c r="U105" s="14" t="n">
        <v>807.5</v>
      </c>
      <c r="V105" s="14" t="n">
        <v>26.19</v>
      </c>
      <c r="W105" s="14" t="n">
        <v>28.62</v>
      </c>
      <c r="X105" s="14" t="n">
        <v>8</v>
      </c>
      <c r="Y105" s="14" t="n">
        <v>8</v>
      </c>
      <c r="Z105" s="14" t="n">
        <v>19</v>
      </c>
      <c r="AA105" s="14" t="n">
        <v>21</v>
      </c>
      <c r="AB105" s="14" t="s">
        <v>177</v>
      </c>
      <c r="AC105" s="14" t="s">
        <v>178</v>
      </c>
      <c r="AD105" s="14" t="n">
        <v>5</v>
      </c>
      <c r="AE105" s="14" t="n">
        <v>4</v>
      </c>
    </row>
  </sheetData>
  <autoFilter ref="A1:AE105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34"/>
    <col collapsed="false" customWidth="true" hidden="false" outlineLevel="0" max="3" min="3" style="0" width="30"/>
    <col collapsed="false" customWidth="true" hidden="false" outlineLevel="0" max="4" min="4" style="0" width="36"/>
    <col collapsed="false" customWidth="true" hidden="false" outlineLevel="0" max="5" min="5" style="0" width="46"/>
  </cols>
  <sheetData>
    <row r="1" customFormat="false" ht="16.15" hidden="false" customHeight="false" outlineLevel="0" collapsed="false">
      <c r="A1" s="15" t="s">
        <v>181</v>
      </c>
    </row>
    <row r="3" customFormat="false" ht="15" hidden="false" customHeight="false" outlineLevel="0" collapsed="false">
      <c r="A3" s="10" t="s">
        <v>182</v>
      </c>
      <c r="B3" s="10" t="s">
        <v>183</v>
      </c>
      <c r="C3" s="10" t="s">
        <v>184</v>
      </c>
      <c r="D3" s="10" t="s">
        <v>185</v>
      </c>
      <c r="E3" s="10" t="s">
        <v>186</v>
      </c>
    </row>
    <row r="4" customFormat="false" ht="69.75" hidden="false" customHeight="true" outlineLevel="0" collapsed="false">
      <c r="A4" s="16" t="s">
        <v>187</v>
      </c>
      <c r="B4" s="17" t="s">
        <v>188</v>
      </c>
      <c r="C4" s="17" t="s">
        <v>189</v>
      </c>
      <c r="D4" s="17" t="s">
        <v>190</v>
      </c>
      <c r="E4" s="17" t="s">
        <v>191</v>
      </c>
    </row>
    <row r="5" customFormat="false" ht="120" hidden="false" customHeight="true" outlineLevel="0" collapsed="false">
      <c r="A5" s="16" t="s">
        <v>192</v>
      </c>
      <c r="B5" s="17" t="s">
        <v>193</v>
      </c>
      <c r="C5" s="17" t="s">
        <v>194</v>
      </c>
      <c r="D5" s="17" t="s">
        <v>195</v>
      </c>
      <c r="E5" s="17" t="s">
        <v>196</v>
      </c>
    </row>
    <row r="6" customFormat="false" ht="129.75" hidden="false" customHeight="true" outlineLevel="0" collapsed="false">
      <c r="A6" s="16" t="s">
        <v>197</v>
      </c>
      <c r="B6" s="17" t="s">
        <v>198</v>
      </c>
      <c r="C6" s="17" t="s">
        <v>199</v>
      </c>
      <c r="D6" s="17" t="s">
        <v>200</v>
      </c>
      <c r="E6" s="17" t="s">
        <v>201</v>
      </c>
    </row>
    <row r="7" customFormat="false" ht="69.75" hidden="false" customHeight="true" outlineLevel="0" collapsed="false">
      <c r="A7" s="16" t="s">
        <v>202</v>
      </c>
      <c r="B7" s="17" t="s">
        <v>203</v>
      </c>
      <c r="C7" s="17" t="s">
        <v>204</v>
      </c>
      <c r="D7" s="17" t="s">
        <v>205</v>
      </c>
      <c r="E7" s="17" t="s">
        <v>206</v>
      </c>
    </row>
    <row r="8" customFormat="false" ht="69.75" hidden="false" customHeight="true" outlineLevel="0" collapsed="false">
      <c r="A8" s="16" t="s">
        <v>207</v>
      </c>
      <c r="B8" s="17" t="s">
        <v>208</v>
      </c>
      <c r="C8" s="17" t="s">
        <v>209</v>
      </c>
      <c r="D8" s="17" t="s">
        <v>210</v>
      </c>
      <c r="E8" s="17" t="s">
        <v>211</v>
      </c>
    </row>
    <row r="9" customFormat="false" ht="69.75" hidden="false" customHeight="true" outlineLevel="0" collapsed="false">
      <c r="A9" s="16" t="s">
        <v>212</v>
      </c>
      <c r="B9" s="17" t="s">
        <v>213</v>
      </c>
      <c r="C9" s="17" t="s">
        <v>214</v>
      </c>
      <c r="D9" s="17" t="s">
        <v>215</v>
      </c>
      <c r="E9" s="17" t="s">
        <v>216</v>
      </c>
    </row>
    <row r="10" customFormat="false" ht="69.75" hidden="false" customHeight="true" outlineLevel="0" collapsed="false">
      <c r="A10" s="16" t="s">
        <v>217</v>
      </c>
      <c r="B10" s="17" t="s">
        <v>218</v>
      </c>
      <c r="C10" s="17" t="s">
        <v>219</v>
      </c>
      <c r="D10" s="17" t="s">
        <v>220</v>
      </c>
      <c r="E10" s="17" t="s">
        <v>221</v>
      </c>
    </row>
    <row r="11" customFormat="false" ht="69.75" hidden="false" customHeight="true" outlineLevel="0" collapsed="false">
      <c r="A11" s="16" t="s">
        <v>222</v>
      </c>
      <c r="B11" s="17" t="s">
        <v>223</v>
      </c>
      <c r="C11" s="17" t="s">
        <v>224</v>
      </c>
      <c r="D11" s="17" t="s">
        <v>225</v>
      </c>
      <c r="E11" s="17" t="s">
        <v>226</v>
      </c>
    </row>
    <row r="12" customFormat="false" ht="69.75" hidden="false" customHeight="true" outlineLevel="0" collapsed="false">
      <c r="A12" s="16" t="s">
        <v>227</v>
      </c>
      <c r="B12" s="17" t="s">
        <v>228</v>
      </c>
      <c r="C12" s="17" t="s">
        <v>229</v>
      </c>
      <c r="D12" s="17" t="s">
        <v>230</v>
      </c>
      <c r="E12" s="17" t="s">
        <v>231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38"/>
    <col collapsed="false" customWidth="true" hidden="false" outlineLevel="0" max="3" min="3" style="0" width="60"/>
    <col collapsed="false" customWidth="true" hidden="false" outlineLevel="0" max="4" min="4" style="0" width="22"/>
    <col collapsed="false" customWidth="true" hidden="false" outlineLevel="0" max="5" min="5" style="0" width="60"/>
  </cols>
  <sheetData>
    <row r="1" customFormat="false" ht="23.85" hidden="false" customHeight="false" outlineLevel="0" collapsed="false">
      <c r="A1" s="10" t="s">
        <v>232</v>
      </c>
      <c r="B1" s="10" t="s">
        <v>233</v>
      </c>
      <c r="C1" s="10" t="s">
        <v>234</v>
      </c>
      <c r="D1" s="10" t="s">
        <v>235</v>
      </c>
      <c r="E1" s="10" t="s">
        <v>236</v>
      </c>
    </row>
    <row r="2" customFormat="false" ht="22.35" hidden="false" customHeight="false" outlineLevel="0" collapsed="false">
      <c r="A2" s="17" t="s">
        <v>237</v>
      </c>
      <c r="B2" s="17" t="s">
        <v>238</v>
      </c>
      <c r="C2" s="17" t="s">
        <v>239</v>
      </c>
      <c r="D2" s="17" t="s">
        <v>240</v>
      </c>
      <c r="E2" s="17" t="s">
        <v>241</v>
      </c>
    </row>
    <row r="3" customFormat="false" ht="22.35" hidden="false" customHeight="false" outlineLevel="0" collapsed="false">
      <c r="A3" s="17" t="s">
        <v>242</v>
      </c>
      <c r="B3" s="17" t="s">
        <v>243</v>
      </c>
      <c r="C3" s="17" t="s">
        <v>244</v>
      </c>
      <c r="D3" s="17" t="s">
        <v>240</v>
      </c>
      <c r="E3" s="17" t="s">
        <v>245</v>
      </c>
    </row>
    <row r="4" customFormat="false" ht="22.35" hidden="false" customHeight="false" outlineLevel="0" collapsed="false">
      <c r="A4" s="17" t="s">
        <v>246</v>
      </c>
      <c r="B4" s="17" t="s">
        <v>247</v>
      </c>
      <c r="C4" s="17" t="s">
        <v>248</v>
      </c>
      <c r="D4" s="17" t="s">
        <v>249</v>
      </c>
      <c r="E4" s="17" t="s">
        <v>250</v>
      </c>
    </row>
    <row r="5" customFormat="false" ht="22.35" hidden="false" customHeight="false" outlineLevel="0" collapsed="false">
      <c r="A5" s="17" t="s">
        <v>251</v>
      </c>
      <c r="B5" s="17" t="s">
        <v>252</v>
      </c>
      <c r="C5" s="17" t="s">
        <v>253</v>
      </c>
      <c r="D5" s="17" t="s">
        <v>240</v>
      </c>
      <c r="E5" s="17" t="s">
        <v>254</v>
      </c>
    </row>
    <row r="6" customFormat="false" ht="22.35" hidden="false" customHeight="false" outlineLevel="0" collapsed="false">
      <c r="A6" s="17" t="s">
        <v>255</v>
      </c>
      <c r="B6" s="17" t="s">
        <v>256</v>
      </c>
      <c r="C6" s="17" t="s">
        <v>257</v>
      </c>
      <c r="D6" s="17" t="s">
        <v>240</v>
      </c>
      <c r="E6" s="17" t="s">
        <v>258</v>
      </c>
    </row>
    <row r="7" customFormat="false" ht="15" hidden="false" customHeight="false" outlineLevel="0" collapsed="false">
      <c r="A7" s="17" t="s">
        <v>259</v>
      </c>
      <c r="B7" s="17" t="s">
        <v>260</v>
      </c>
      <c r="C7" s="17" t="s">
        <v>261</v>
      </c>
      <c r="D7" s="17" t="s">
        <v>240</v>
      </c>
      <c r="E7" s="17" t="s">
        <v>262</v>
      </c>
    </row>
    <row r="8" customFormat="false" ht="22.35" hidden="false" customHeight="false" outlineLevel="0" collapsed="false">
      <c r="A8" s="17" t="s">
        <v>263</v>
      </c>
      <c r="B8" s="17" t="s">
        <v>264</v>
      </c>
      <c r="C8" s="17" t="s">
        <v>265</v>
      </c>
      <c r="D8" s="17" t="s">
        <v>240</v>
      </c>
      <c r="E8" s="17" t="s">
        <v>266</v>
      </c>
    </row>
    <row r="9" customFormat="false" ht="15" hidden="false" customHeight="false" outlineLevel="0" collapsed="false">
      <c r="A9" s="17" t="s">
        <v>267</v>
      </c>
      <c r="B9" s="17" t="s">
        <v>268</v>
      </c>
      <c r="C9" s="17" t="s">
        <v>269</v>
      </c>
      <c r="D9" s="17" t="s">
        <v>270</v>
      </c>
      <c r="E9" s="17" t="s">
        <v>271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42"/>
    <col collapsed="false" customWidth="true" hidden="false" outlineLevel="0" max="5" min="3" style="0" width="11"/>
    <col collapsed="false" customWidth="true" hidden="false" outlineLevel="0" max="6" min="6" style="0" width="12"/>
    <col collapsed="false" customWidth="true" hidden="false" outlineLevel="0" max="8" min="7" style="0" width="13"/>
  </cols>
  <sheetData>
    <row r="1" customFormat="false" ht="15" hidden="false" customHeight="false" outlineLevel="0" collapsed="false">
      <c r="A1" s="10" t="s">
        <v>272</v>
      </c>
      <c r="B1" s="10" t="s">
        <v>182</v>
      </c>
      <c r="C1" s="10" t="s">
        <v>273</v>
      </c>
      <c r="D1" s="10" t="s">
        <v>274</v>
      </c>
      <c r="E1" s="10" t="s">
        <v>275</v>
      </c>
      <c r="F1" s="10" t="s">
        <v>276</v>
      </c>
      <c r="G1" s="10" t="s">
        <v>277</v>
      </c>
      <c r="H1" s="10" t="s">
        <v>278</v>
      </c>
    </row>
    <row r="2" customFormat="false" ht="15" hidden="false" customHeight="false" outlineLevel="0" collapsed="false">
      <c r="A2" s="17" t="s">
        <v>237</v>
      </c>
      <c r="B2" s="17" t="s">
        <v>152</v>
      </c>
      <c r="C2" s="17" t="n">
        <v>0.605</v>
      </c>
      <c r="D2" s="17" t="n">
        <v>0.467</v>
      </c>
      <c r="E2" s="17" t="n">
        <v>0.715</v>
      </c>
      <c r="F2" s="17" t="n">
        <v>0</v>
      </c>
      <c r="G2" s="17" t="n">
        <v>0.564</v>
      </c>
      <c r="H2" s="17" t="n">
        <v>0</v>
      </c>
    </row>
    <row r="3" customFormat="false" ht="15" hidden="false" customHeight="false" outlineLevel="0" collapsed="false">
      <c r="A3" s="17" t="s">
        <v>242</v>
      </c>
      <c r="B3" s="17" t="s">
        <v>153</v>
      </c>
      <c r="C3" s="17" t="n">
        <v>0.544</v>
      </c>
      <c r="D3" s="17" t="n">
        <v>0.393</v>
      </c>
      <c r="E3" s="17" t="n">
        <v>0.667</v>
      </c>
      <c r="F3" s="17" t="n">
        <v>0</v>
      </c>
      <c r="G3" s="17" t="n">
        <v>0.553</v>
      </c>
      <c r="H3" s="17" t="n">
        <v>0</v>
      </c>
    </row>
    <row r="4" customFormat="false" ht="15" hidden="false" customHeight="false" outlineLevel="0" collapsed="false">
      <c r="A4" s="17" t="s">
        <v>246</v>
      </c>
      <c r="B4" s="17" t="s">
        <v>154</v>
      </c>
      <c r="C4" s="17" t="n">
        <v>-0.079</v>
      </c>
      <c r="D4" s="17" t="n">
        <v>-0.267</v>
      </c>
      <c r="E4" s="17" t="n">
        <v>0.116</v>
      </c>
      <c r="F4" s="17" t="n">
        <v>0.42722</v>
      </c>
      <c r="G4" s="17" t="n">
        <v>-0.055</v>
      </c>
      <c r="H4" s="17" t="n">
        <v>0.58124</v>
      </c>
    </row>
    <row r="5" customFormat="false" ht="15" hidden="false" customHeight="false" outlineLevel="0" collapsed="false">
      <c r="A5" s="17" t="s">
        <v>251</v>
      </c>
      <c r="B5" s="17" t="s">
        <v>155</v>
      </c>
      <c r="C5" s="17" t="n">
        <v>0.48</v>
      </c>
      <c r="D5" s="17" t="n">
        <v>0.316</v>
      </c>
      <c r="E5" s="17" t="n">
        <v>0.616</v>
      </c>
      <c r="F5" s="17" t="n">
        <v>0</v>
      </c>
      <c r="G5" s="17" t="n">
        <v>0.465</v>
      </c>
      <c r="H5" s="17" t="n">
        <v>0</v>
      </c>
    </row>
    <row r="6" customFormat="false" ht="15" hidden="false" customHeight="false" outlineLevel="0" collapsed="false">
      <c r="A6" s="17" t="s">
        <v>255</v>
      </c>
      <c r="B6" s="17" t="s">
        <v>156</v>
      </c>
      <c r="C6" s="17" t="n">
        <v>0.292</v>
      </c>
      <c r="D6" s="17" t="n">
        <v>0.106</v>
      </c>
      <c r="E6" s="17" t="n">
        <v>0.459</v>
      </c>
      <c r="F6" s="17" t="n">
        <v>0.00262</v>
      </c>
      <c r="G6" s="17" t="n">
        <v>0.312</v>
      </c>
      <c r="H6" s="17" t="n">
        <v>0.00126</v>
      </c>
    </row>
    <row r="7" customFormat="false" ht="15" hidden="false" customHeight="false" outlineLevel="0" collapsed="false">
      <c r="A7" s="17" t="s">
        <v>259</v>
      </c>
      <c r="B7" s="17" t="s">
        <v>157</v>
      </c>
      <c r="C7" s="17" t="n">
        <v>0.141</v>
      </c>
      <c r="D7" s="17" t="n">
        <v>-0.053</v>
      </c>
      <c r="E7" s="17" t="n">
        <v>0.324</v>
      </c>
      <c r="F7" s="17" t="n">
        <v>0.15431</v>
      </c>
      <c r="G7" s="17" t="n">
        <v>0.125</v>
      </c>
      <c r="H7" s="17" t="n">
        <v>0.20485</v>
      </c>
    </row>
    <row r="8" customFormat="false" ht="15" hidden="false" customHeight="false" outlineLevel="0" collapsed="false">
      <c r="A8" s="17" t="s">
        <v>263</v>
      </c>
      <c r="B8" s="17" t="s">
        <v>158</v>
      </c>
      <c r="C8" s="17" t="n">
        <v>0.352</v>
      </c>
      <c r="D8" s="17" t="n">
        <v>0.171</v>
      </c>
      <c r="E8" s="17" t="n">
        <v>0.51</v>
      </c>
      <c r="F8" s="17" t="n">
        <v>0.00024</v>
      </c>
      <c r="G8" s="17" t="n">
        <v>0.27</v>
      </c>
      <c r="H8" s="17" t="n">
        <v>0.00556</v>
      </c>
    </row>
    <row r="9" customFormat="false" ht="15" hidden="false" customHeight="false" outlineLevel="0" collapsed="false">
      <c r="A9" s="17" t="s">
        <v>267</v>
      </c>
      <c r="B9" s="17" t="s">
        <v>159</v>
      </c>
      <c r="C9" s="17" t="n">
        <v>0.189</v>
      </c>
      <c r="D9" s="17" t="n">
        <v>-0.003</v>
      </c>
      <c r="E9" s="17" t="n">
        <v>0.368</v>
      </c>
      <c r="F9" s="17" t="n">
        <v>0.05429</v>
      </c>
      <c r="G9" s="17" t="n">
        <v>0.199</v>
      </c>
      <c r="H9" s="17" t="n">
        <v>0.0429</v>
      </c>
    </row>
    <row r="12" customFormat="false" ht="42" hidden="false" customHeight="true" outlineLevel="0" collapsed="false">
      <c r="A12" s="18" t="s">
        <v>279</v>
      </c>
      <c r="B12" s="18"/>
      <c r="C12" s="18"/>
      <c r="D12" s="18"/>
      <c r="E12" s="18"/>
      <c r="F12" s="18"/>
      <c r="G12" s="18"/>
      <c r="H12" s="18"/>
    </row>
    <row r="13" customFormat="false" ht="42" hidden="false" customHeight="true" outlineLevel="0" collapsed="false">
      <c r="A13" s="18" t="s">
        <v>280</v>
      </c>
      <c r="B13" s="18"/>
      <c r="C13" s="18"/>
      <c r="D13" s="18"/>
      <c r="E13" s="18"/>
      <c r="F13" s="18"/>
      <c r="G13" s="18"/>
      <c r="H13" s="18"/>
    </row>
    <row r="14" customFormat="false" ht="42" hidden="false" customHeight="true" outlineLevel="0" collapsed="false">
      <c r="A14" s="18" t="s">
        <v>281</v>
      </c>
      <c r="B14" s="18"/>
      <c r="C14" s="18"/>
      <c r="D14" s="18"/>
      <c r="E14" s="18"/>
      <c r="F14" s="18"/>
      <c r="G14" s="18"/>
      <c r="H14" s="18"/>
    </row>
    <row r="15" customFormat="false" ht="42" hidden="false" customHeight="true" outlineLevel="0" collapsed="false">
      <c r="A15" s="18" t="s">
        <v>282</v>
      </c>
      <c r="B15" s="18"/>
      <c r="C15" s="18"/>
      <c r="D15" s="18"/>
      <c r="E15" s="18"/>
      <c r="F15" s="18"/>
      <c r="G15" s="18"/>
      <c r="H15" s="18"/>
    </row>
  </sheetData>
  <mergeCells count="4">
    <mergeCell ref="A12:H12"/>
    <mergeCell ref="A13:H13"/>
    <mergeCell ref="A14:H14"/>
    <mergeCell ref="A15:H1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2"/>
    <col collapsed="false" customWidth="true" hidden="false" outlineLevel="0" max="3" min="3" style="0" width="70"/>
    <col collapsed="false" customWidth="true" hidden="false" outlineLevel="0" max="4" min="4" style="0" width="28"/>
  </cols>
  <sheetData>
    <row r="1" customFormat="false" ht="15" hidden="false" customHeight="false" outlineLevel="0" collapsed="false">
      <c r="A1" s="10" t="s">
        <v>283</v>
      </c>
      <c r="B1" s="10" t="s">
        <v>284</v>
      </c>
      <c r="C1" s="10" t="s">
        <v>285</v>
      </c>
      <c r="D1" s="10" t="s">
        <v>236</v>
      </c>
    </row>
    <row r="2" customFormat="false" ht="15" hidden="false" customHeight="false" outlineLevel="0" collapsed="false">
      <c r="A2" s="17" t="s">
        <v>0</v>
      </c>
      <c r="B2" s="17" t="s">
        <v>286</v>
      </c>
      <c r="C2" s="17" t="s">
        <v>287</v>
      </c>
      <c r="D2" s="17" t="s">
        <v>288</v>
      </c>
    </row>
    <row r="3" customFormat="false" ht="15" hidden="false" customHeight="false" outlineLevel="0" collapsed="false">
      <c r="A3" s="17" t="s">
        <v>1</v>
      </c>
      <c r="B3" s="17" t="s">
        <v>289</v>
      </c>
      <c r="C3" s="17" t="s">
        <v>290</v>
      </c>
      <c r="D3" s="17" t="s">
        <v>291</v>
      </c>
    </row>
    <row r="4" customFormat="false" ht="15" hidden="false" customHeight="false" outlineLevel="0" collapsed="false">
      <c r="A4" s="17" t="s">
        <v>2</v>
      </c>
      <c r="B4" s="17" t="s">
        <v>289</v>
      </c>
      <c r="C4" s="17" t="s">
        <v>292</v>
      </c>
      <c r="D4" s="17" t="s">
        <v>293</v>
      </c>
    </row>
    <row r="5" customFormat="false" ht="15" hidden="false" customHeight="false" outlineLevel="0" collapsed="false">
      <c r="A5" s="17" t="s">
        <v>3</v>
      </c>
      <c r="B5" s="17" t="s">
        <v>294</v>
      </c>
      <c r="C5" s="17" t="s">
        <v>295</v>
      </c>
      <c r="D5" s="17" t="s">
        <v>288</v>
      </c>
    </row>
    <row r="6" customFormat="false" ht="15" hidden="false" customHeight="false" outlineLevel="0" collapsed="false">
      <c r="A6" s="17" t="s">
        <v>296</v>
      </c>
      <c r="B6" s="17" t="s">
        <v>289</v>
      </c>
      <c r="C6" s="17" t="s">
        <v>297</v>
      </c>
      <c r="D6" s="17" t="s">
        <v>288</v>
      </c>
    </row>
    <row r="7" customFormat="false" ht="15" hidden="false" customHeight="false" outlineLevel="0" collapsed="false">
      <c r="A7" s="17" t="s">
        <v>298</v>
      </c>
      <c r="B7" s="17" t="s">
        <v>286</v>
      </c>
      <c r="C7" s="17" t="s">
        <v>299</v>
      </c>
      <c r="D7" s="17" t="s">
        <v>288</v>
      </c>
    </row>
    <row r="8" customFormat="false" ht="15" hidden="false" customHeight="false" outlineLevel="0" collapsed="false">
      <c r="A8" s="17" t="s">
        <v>151</v>
      </c>
      <c r="B8" s="17" t="s">
        <v>286</v>
      </c>
      <c r="C8" s="17" t="s">
        <v>300</v>
      </c>
      <c r="D8" s="17" t="s">
        <v>301</v>
      </c>
    </row>
    <row r="9" customFormat="false" ht="15" hidden="false" customHeight="false" outlineLevel="0" collapsed="false">
      <c r="A9" s="17" t="s">
        <v>302</v>
      </c>
      <c r="B9" s="17" t="s">
        <v>303</v>
      </c>
      <c r="C9" s="17" t="s">
        <v>304</v>
      </c>
      <c r="D9" s="17" t="s">
        <v>305</v>
      </c>
    </row>
    <row r="10" customFormat="false" ht="22.35" hidden="false" customHeight="false" outlineLevel="0" collapsed="false">
      <c r="A10" s="17" t="s">
        <v>306</v>
      </c>
      <c r="B10" s="17" t="s">
        <v>307</v>
      </c>
      <c r="C10" s="17" t="s">
        <v>308</v>
      </c>
      <c r="D10" s="17" t="s">
        <v>309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4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4"/>
    <col collapsed="false" customWidth="true" hidden="false" outlineLevel="0" max="4" min="3" style="0" width="12"/>
    <col collapsed="false" customWidth="true" hidden="false" outlineLevel="0" max="5" min="5" style="0" width="14"/>
    <col collapsed="false" customWidth="true" hidden="false" outlineLevel="0" max="6" min="6" style="0" width="12"/>
    <col collapsed="false" customWidth="true" hidden="false" outlineLevel="0" max="7" min="7" style="0" width="22"/>
    <col collapsed="false" customWidth="true" hidden="false" outlineLevel="0" max="9" min="8" style="0" width="12"/>
    <col collapsed="false" customWidth="true" hidden="false" outlineLevel="0" max="10" min="10" style="0" width="8"/>
  </cols>
  <sheetData>
    <row r="1" customFormat="false" ht="23.85" hidden="false" customHeight="false" outlineLevel="0" collapsed="false">
      <c r="A1" s="10" t="s">
        <v>118</v>
      </c>
      <c r="B1" s="10" t="s">
        <v>310</v>
      </c>
      <c r="C1" s="10" t="s">
        <v>311</v>
      </c>
      <c r="D1" s="10" t="s">
        <v>312</v>
      </c>
      <c r="E1" s="10" t="s">
        <v>313</v>
      </c>
      <c r="F1" s="10" t="s">
        <v>314</v>
      </c>
      <c r="G1" s="10" t="s">
        <v>315</v>
      </c>
      <c r="H1" s="10" t="s">
        <v>316</v>
      </c>
      <c r="I1" s="10" t="s">
        <v>317</v>
      </c>
      <c r="J1" s="10" t="s">
        <v>318</v>
      </c>
    </row>
    <row r="2" customFormat="false" ht="15" hidden="false" customHeight="false" outlineLevel="0" collapsed="false">
      <c r="A2" s="17" t="s">
        <v>72</v>
      </c>
      <c r="B2" s="17" t="s">
        <v>178</v>
      </c>
      <c r="C2" s="17" t="n">
        <v>5</v>
      </c>
      <c r="D2" s="17" t="n">
        <v>1</v>
      </c>
      <c r="E2" s="17" t="n">
        <v>807.5</v>
      </c>
      <c r="F2" s="17" t="n">
        <v>28.62</v>
      </c>
      <c r="G2" s="17" t="s">
        <v>319</v>
      </c>
      <c r="H2" s="17" t="n">
        <v>8</v>
      </c>
      <c r="I2" s="17" t="n">
        <v>21</v>
      </c>
      <c r="J2" s="17" t="n">
        <v>0</v>
      </c>
    </row>
    <row r="3" customFormat="false" ht="15" hidden="false" customHeight="false" outlineLevel="0" collapsed="false">
      <c r="A3" s="17" t="s">
        <v>59</v>
      </c>
      <c r="B3" s="17" t="s">
        <v>177</v>
      </c>
      <c r="C3" s="17" t="n">
        <v>6</v>
      </c>
      <c r="D3" s="17" t="n">
        <v>2</v>
      </c>
      <c r="E3" s="17" t="n">
        <v>1220</v>
      </c>
      <c r="F3" s="17" t="n">
        <v>26.19</v>
      </c>
      <c r="G3" s="17" t="s">
        <v>319</v>
      </c>
      <c r="H3" s="17" t="n">
        <v>8</v>
      </c>
      <c r="I3" s="17" t="n">
        <v>19</v>
      </c>
      <c r="J3" s="17" t="n">
        <v>0</v>
      </c>
    </row>
    <row r="4" customFormat="false" ht="15" hidden="false" customHeight="false" outlineLevel="0" collapsed="false">
      <c r="A4" s="17" t="s">
        <v>65</v>
      </c>
      <c r="B4" s="17" t="s">
        <v>177</v>
      </c>
      <c r="C4" s="17" t="n">
        <v>6</v>
      </c>
      <c r="D4" s="17" t="n">
        <v>3</v>
      </c>
      <c r="E4" s="17" t="n">
        <v>1520</v>
      </c>
      <c r="F4" s="17" t="n">
        <v>26.58</v>
      </c>
      <c r="G4" s="17" t="s">
        <v>319</v>
      </c>
      <c r="H4" s="17" t="n">
        <v>8</v>
      </c>
      <c r="I4" s="17" t="n">
        <v>12</v>
      </c>
      <c r="J4" s="17" t="n">
        <v>0</v>
      </c>
    </row>
    <row r="5" customFormat="false" ht="15" hidden="false" customHeight="false" outlineLevel="0" collapsed="false">
      <c r="A5" s="17" t="s">
        <v>83</v>
      </c>
      <c r="B5" s="17" t="s">
        <v>177</v>
      </c>
      <c r="C5" s="17" t="n">
        <v>6</v>
      </c>
      <c r="D5" s="17" t="n">
        <v>4</v>
      </c>
      <c r="E5" s="17" t="n">
        <v>1360</v>
      </c>
      <c r="F5" s="17" t="n">
        <v>26.62</v>
      </c>
      <c r="G5" s="17" t="s">
        <v>319</v>
      </c>
      <c r="H5" s="17" t="n">
        <v>8</v>
      </c>
      <c r="I5" s="17" t="n">
        <v>22</v>
      </c>
      <c r="J5" s="17" t="n">
        <v>0</v>
      </c>
    </row>
    <row r="6" customFormat="false" ht="15" hidden="false" customHeight="false" outlineLevel="0" collapsed="false">
      <c r="A6" s="17" t="s">
        <v>78</v>
      </c>
      <c r="B6" s="17" t="s">
        <v>177</v>
      </c>
      <c r="C6" s="17" t="n">
        <v>6</v>
      </c>
      <c r="D6" s="17" t="n">
        <v>5</v>
      </c>
      <c r="E6" s="17" t="n">
        <v>1010</v>
      </c>
      <c r="F6" s="17" t="n">
        <v>27.54</v>
      </c>
      <c r="G6" s="17" t="s">
        <v>320</v>
      </c>
      <c r="H6" s="17" t="n">
        <v>6</v>
      </c>
      <c r="I6" s="17" t="n">
        <v>13</v>
      </c>
      <c r="J6" s="17" t="n">
        <v>0</v>
      </c>
    </row>
    <row r="7" customFormat="false" ht="15" hidden="false" customHeight="false" outlineLevel="0" collapsed="false">
      <c r="A7" s="17" t="s">
        <v>27</v>
      </c>
      <c r="B7" s="17" t="s">
        <v>178</v>
      </c>
      <c r="C7" s="17" t="n">
        <v>5</v>
      </c>
      <c r="D7" s="17" t="n">
        <v>6</v>
      </c>
      <c r="E7" s="17" t="n">
        <v>928.2</v>
      </c>
      <c r="F7" s="17" t="n">
        <v>28.65</v>
      </c>
      <c r="G7" s="17" t="s">
        <v>319</v>
      </c>
      <c r="H7" s="17" t="n">
        <v>8</v>
      </c>
      <c r="I7" s="17" t="n">
        <v>7</v>
      </c>
      <c r="J7" s="17" t="n">
        <v>0</v>
      </c>
    </row>
    <row r="8" customFormat="false" ht="15" hidden="false" customHeight="false" outlineLevel="0" collapsed="false">
      <c r="A8" s="17" t="s">
        <v>28</v>
      </c>
      <c r="B8" s="17" t="s">
        <v>175</v>
      </c>
      <c r="C8" s="17" t="n">
        <v>4</v>
      </c>
      <c r="D8" s="17" t="n">
        <v>7</v>
      </c>
      <c r="E8" s="17" t="n">
        <v>447.7</v>
      </c>
      <c r="F8" s="17" t="n">
        <v>25.92</v>
      </c>
      <c r="G8" s="17" t="s">
        <v>321</v>
      </c>
      <c r="H8" s="17" t="n">
        <v>5</v>
      </c>
      <c r="I8" s="17" t="n">
        <v>20</v>
      </c>
      <c r="J8" s="17" t="n">
        <v>0</v>
      </c>
    </row>
    <row r="9" customFormat="false" ht="15" hidden="false" customHeight="false" outlineLevel="0" collapsed="false">
      <c r="A9" s="17" t="s">
        <v>45</v>
      </c>
      <c r="B9" s="17" t="s">
        <v>177</v>
      </c>
      <c r="C9" s="17" t="n">
        <v>6</v>
      </c>
      <c r="D9" s="17" t="n">
        <v>8</v>
      </c>
      <c r="E9" s="17" t="n">
        <v>754.2</v>
      </c>
      <c r="F9" s="17" t="n">
        <v>27.27</v>
      </c>
      <c r="G9" s="17" t="s">
        <v>322</v>
      </c>
      <c r="H9" s="17" t="n">
        <v>7</v>
      </c>
      <c r="I9" s="17" t="n">
        <v>23</v>
      </c>
      <c r="J9" s="17" t="n">
        <v>0</v>
      </c>
    </row>
    <row r="10" customFormat="false" ht="15" hidden="false" customHeight="false" outlineLevel="0" collapsed="false">
      <c r="A10" s="17" t="s">
        <v>52</v>
      </c>
      <c r="B10" s="17" t="s">
        <v>177</v>
      </c>
      <c r="C10" s="17" t="n">
        <v>6</v>
      </c>
      <c r="D10" s="17" t="n">
        <v>9</v>
      </c>
      <c r="E10" s="17" t="n">
        <v>547.5</v>
      </c>
      <c r="F10" s="17" t="n">
        <v>27.12</v>
      </c>
      <c r="G10" s="17" t="s">
        <v>320</v>
      </c>
      <c r="H10" s="17" t="n">
        <v>6</v>
      </c>
      <c r="I10" s="17" t="n">
        <v>22</v>
      </c>
      <c r="J10" s="17" t="n">
        <v>0</v>
      </c>
    </row>
    <row r="11" customFormat="false" ht="15" hidden="false" customHeight="false" outlineLevel="0" collapsed="false">
      <c r="A11" s="17" t="s">
        <v>40</v>
      </c>
      <c r="B11" s="17" t="s">
        <v>177</v>
      </c>
      <c r="C11" s="17" t="n">
        <v>6</v>
      </c>
      <c r="D11" s="17" t="n">
        <v>10</v>
      </c>
      <c r="E11" s="17" t="n">
        <v>947</v>
      </c>
      <c r="F11" s="17" t="n">
        <v>27.54</v>
      </c>
      <c r="G11" s="17" t="s">
        <v>319</v>
      </c>
      <c r="H11" s="17" t="n">
        <v>8</v>
      </c>
      <c r="I11" s="17" t="n">
        <v>13</v>
      </c>
      <c r="J11" s="17" t="n">
        <v>0</v>
      </c>
    </row>
    <row r="12" customFormat="false" ht="15" hidden="false" customHeight="false" outlineLevel="0" collapsed="false">
      <c r="A12" s="17" t="s">
        <v>84</v>
      </c>
      <c r="B12" s="17" t="s">
        <v>177</v>
      </c>
      <c r="C12" s="17" t="n">
        <v>6</v>
      </c>
      <c r="D12" s="17" t="n">
        <v>11</v>
      </c>
      <c r="E12" s="17" t="n">
        <v>387.3</v>
      </c>
      <c r="F12" s="17" t="n">
        <v>27.88</v>
      </c>
      <c r="G12" s="17" t="s">
        <v>322</v>
      </c>
      <c r="H12" s="17" t="n">
        <v>7</v>
      </c>
      <c r="I12" s="17" t="n">
        <v>22</v>
      </c>
      <c r="J12" s="17" t="n">
        <v>0</v>
      </c>
    </row>
    <row r="13" customFormat="false" ht="15" hidden="false" customHeight="false" outlineLevel="0" collapsed="false">
      <c r="A13" s="17" t="s">
        <v>81</v>
      </c>
      <c r="B13" s="17" t="s">
        <v>178</v>
      </c>
      <c r="C13" s="17" t="n">
        <v>5</v>
      </c>
      <c r="D13" s="17" t="n">
        <v>13</v>
      </c>
      <c r="E13" s="17" t="n">
        <v>302.35</v>
      </c>
      <c r="F13" s="17" t="n">
        <v>29.58</v>
      </c>
      <c r="G13" s="17" t="s">
        <v>105</v>
      </c>
      <c r="H13" s="17" t="n">
        <v>4</v>
      </c>
      <c r="I13" s="17" t="n">
        <v>10</v>
      </c>
      <c r="J13" s="17" t="n">
        <v>0</v>
      </c>
    </row>
    <row r="14" customFormat="false" ht="15" hidden="false" customHeight="false" outlineLevel="0" collapsed="false">
      <c r="A14" s="17" t="s">
        <v>12</v>
      </c>
      <c r="B14" s="17" t="s">
        <v>174</v>
      </c>
      <c r="C14" s="17" t="n">
        <v>3</v>
      </c>
      <c r="D14" s="17" t="n">
        <v>14</v>
      </c>
      <c r="E14" s="17" t="n">
        <v>191.85</v>
      </c>
      <c r="F14" s="17" t="n">
        <v>27.5</v>
      </c>
      <c r="G14" s="17" t="s">
        <v>105</v>
      </c>
      <c r="H14" s="17" t="n">
        <v>4</v>
      </c>
      <c r="I14" s="17" t="n">
        <v>0</v>
      </c>
      <c r="J14" s="17" t="n">
        <v>1</v>
      </c>
    </row>
    <row r="15" customFormat="false" ht="15" hidden="false" customHeight="false" outlineLevel="0" collapsed="false">
      <c r="A15" s="17" t="s">
        <v>66</v>
      </c>
      <c r="B15" s="17" t="s">
        <v>175</v>
      </c>
      <c r="C15" s="17" t="n">
        <v>4</v>
      </c>
      <c r="D15" s="17" t="n">
        <v>15</v>
      </c>
      <c r="E15" s="17" t="n">
        <v>478.1</v>
      </c>
      <c r="F15" s="17" t="n">
        <v>26.62</v>
      </c>
      <c r="G15" s="17" t="s">
        <v>105</v>
      </c>
      <c r="H15" s="17" t="n">
        <v>4</v>
      </c>
      <c r="I15" s="17" t="n">
        <v>19</v>
      </c>
      <c r="J15" s="17" t="n">
        <v>0</v>
      </c>
    </row>
    <row r="16" customFormat="false" ht="15" hidden="false" customHeight="false" outlineLevel="0" collapsed="false">
      <c r="A16" s="17" t="s">
        <v>62</v>
      </c>
      <c r="B16" s="17" t="s">
        <v>178</v>
      </c>
      <c r="C16" s="17" t="n">
        <v>5</v>
      </c>
      <c r="D16" s="17" t="n">
        <v>16</v>
      </c>
      <c r="E16" s="17" t="n">
        <v>359.3</v>
      </c>
      <c r="F16" s="17" t="n">
        <v>28.19</v>
      </c>
      <c r="G16" s="17" t="s">
        <v>319</v>
      </c>
      <c r="H16" s="17" t="n">
        <v>8</v>
      </c>
      <c r="I16" s="17" t="n">
        <v>10</v>
      </c>
      <c r="J16" s="17" t="n">
        <v>0</v>
      </c>
    </row>
    <row r="17" customFormat="false" ht="15" hidden="false" customHeight="false" outlineLevel="0" collapsed="false">
      <c r="A17" s="17" t="s">
        <v>34</v>
      </c>
      <c r="B17" s="17" t="s">
        <v>174</v>
      </c>
      <c r="C17" s="17" t="n">
        <v>3</v>
      </c>
      <c r="D17" s="17" t="n">
        <v>17</v>
      </c>
      <c r="E17" s="17" t="n">
        <v>385.6</v>
      </c>
      <c r="F17" s="17" t="n">
        <v>26.42</v>
      </c>
      <c r="G17" s="17" t="s">
        <v>320</v>
      </c>
      <c r="H17" s="17" t="n">
        <v>6</v>
      </c>
      <c r="I17" s="17" t="n">
        <v>0</v>
      </c>
      <c r="J17" s="17" t="n">
        <v>1</v>
      </c>
    </row>
    <row r="18" customFormat="false" ht="15" hidden="false" customHeight="false" outlineLevel="0" collapsed="false">
      <c r="A18" s="17" t="s">
        <v>46</v>
      </c>
      <c r="B18" s="17" t="s">
        <v>176</v>
      </c>
      <c r="C18" s="17" t="n">
        <v>2</v>
      </c>
      <c r="D18" s="17" t="n">
        <v>18</v>
      </c>
      <c r="E18" s="17" t="n">
        <v>270.85</v>
      </c>
      <c r="F18" s="17" t="n">
        <v>27.19</v>
      </c>
      <c r="G18" s="17" t="s">
        <v>99</v>
      </c>
      <c r="H18" s="17" t="n">
        <v>3</v>
      </c>
      <c r="I18" s="17" t="n">
        <v>27</v>
      </c>
      <c r="J18" s="17" t="n">
        <v>0</v>
      </c>
    </row>
    <row r="19" customFormat="false" ht="15" hidden="false" customHeight="false" outlineLevel="0" collapsed="false">
      <c r="A19" s="17" t="s">
        <v>24</v>
      </c>
      <c r="B19" s="17" t="s">
        <v>177</v>
      </c>
      <c r="C19" s="17" t="n">
        <v>6</v>
      </c>
      <c r="D19" s="17" t="n">
        <v>19</v>
      </c>
      <c r="E19" s="17" t="n">
        <v>332.5</v>
      </c>
      <c r="F19" s="17" t="n">
        <v>27.81</v>
      </c>
      <c r="G19" s="17" t="s">
        <v>105</v>
      </c>
      <c r="H19" s="17" t="n">
        <v>4</v>
      </c>
      <c r="I19" s="17" t="n">
        <v>12</v>
      </c>
      <c r="J19" s="17" t="n">
        <v>0</v>
      </c>
    </row>
    <row r="20" customFormat="false" ht="15" hidden="false" customHeight="false" outlineLevel="0" collapsed="false">
      <c r="A20" s="17" t="s">
        <v>54</v>
      </c>
      <c r="B20" s="17" t="s">
        <v>176</v>
      </c>
      <c r="C20" s="17" t="n">
        <v>2</v>
      </c>
      <c r="D20" s="17" t="n">
        <v>20</v>
      </c>
      <c r="E20" s="17" t="n">
        <v>32.05</v>
      </c>
      <c r="F20" s="17" t="n">
        <v>29.81</v>
      </c>
      <c r="G20" s="17" t="s">
        <v>9</v>
      </c>
      <c r="H20" s="17" t="n">
        <v>2</v>
      </c>
      <c r="I20" s="17" t="n">
        <v>11</v>
      </c>
      <c r="J20" s="17" t="n">
        <v>0</v>
      </c>
    </row>
    <row r="21" customFormat="false" ht="15" hidden="false" customHeight="false" outlineLevel="0" collapsed="false">
      <c r="A21" s="17" t="s">
        <v>37</v>
      </c>
      <c r="B21" s="17" t="s">
        <v>177</v>
      </c>
      <c r="C21" s="17" t="n">
        <v>6</v>
      </c>
      <c r="D21" s="17" t="n">
        <v>22</v>
      </c>
      <c r="E21" s="17" t="n">
        <v>473.7</v>
      </c>
      <c r="F21" s="17" t="n">
        <v>27.23</v>
      </c>
      <c r="G21" s="17" t="s">
        <v>320</v>
      </c>
      <c r="H21" s="17" t="n">
        <v>6</v>
      </c>
      <c r="I21" s="17" t="n">
        <v>7</v>
      </c>
      <c r="J21" s="17" t="n">
        <v>0</v>
      </c>
    </row>
    <row r="22" customFormat="false" ht="15" hidden="false" customHeight="false" outlineLevel="0" collapsed="false">
      <c r="A22" s="17" t="s">
        <v>43</v>
      </c>
      <c r="B22" s="17" t="s">
        <v>178</v>
      </c>
      <c r="C22" s="17" t="n">
        <v>5</v>
      </c>
      <c r="D22" s="17" t="n">
        <v>23</v>
      </c>
      <c r="E22" s="17" t="n">
        <v>368.7</v>
      </c>
      <c r="F22" s="17" t="n">
        <v>25.58</v>
      </c>
      <c r="G22" s="17" t="s">
        <v>99</v>
      </c>
      <c r="H22" s="17" t="n">
        <v>3</v>
      </c>
      <c r="I22" s="17" t="n">
        <v>9</v>
      </c>
      <c r="J22" s="17" t="n">
        <v>0</v>
      </c>
    </row>
    <row r="23" customFormat="false" ht="15" hidden="false" customHeight="false" outlineLevel="0" collapsed="false">
      <c r="A23" s="17" t="s">
        <v>74</v>
      </c>
      <c r="B23" s="17" t="s">
        <v>177</v>
      </c>
      <c r="C23" s="17" t="n">
        <v>6</v>
      </c>
      <c r="D23" s="17" t="n">
        <v>24</v>
      </c>
      <c r="E23" s="17" t="n">
        <v>245.2</v>
      </c>
      <c r="F23" s="17" t="n">
        <v>28.12</v>
      </c>
      <c r="G23" s="17" t="s">
        <v>320</v>
      </c>
      <c r="H23" s="17" t="n">
        <v>6</v>
      </c>
      <c r="I23" s="17" t="n">
        <v>18</v>
      </c>
      <c r="J23" s="17" t="n">
        <v>0</v>
      </c>
    </row>
    <row r="24" customFormat="false" ht="15" hidden="false" customHeight="false" outlineLevel="0" collapsed="false">
      <c r="A24" s="17" t="s">
        <v>15</v>
      </c>
      <c r="B24" s="17" t="s">
        <v>176</v>
      </c>
      <c r="C24" s="17" t="n">
        <v>2</v>
      </c>
      <c r="D24" s="17" t="n">
        <v>25</v>
      </c>
      <c r="E24" s="17" t="n">
        <v>139.05</v>
      </c>
      <c r="F24" s="17" t="n">
        <v>27.46</v>
      </c>
      <c r="G24" s="17" t="s">
        <v>321</v>
      </c>
      <c r="H24" s="17" t="n">
        <v>5</v>
      </c>
      <c r="I24" s="17" t="n">
        <v>13</v>
      </c>
      <c r="J24" s="17" t="n">
        <v>0</v>
      </c>
    </row>
    <row r="25" customFormat="false" ht="15" hidden="false" customHeight="false" outlineLevel="0" collapsed="false">
      <c r="A25" s="17" t="s">
        <v>36</v>
      </c>
      <c r="B25" s="17" t="s">
        <v>176</v>
      </c>
      <c r="C25" s="17" t="n">
        <v>2</v>
      </c>
      <c r="D25" s="17" t="n">
        <v>27</v>
      </c>
      <c r="E25" s="17" t="n">
        <v>77.45</v>
      </c>
      <c r="F25" s="17" t="n">
        <v>26.88</v>
      </c>
      <c r="G25" s="17" t="s">
        <v>99</v>
      </c>
      <c r="H25" s="17" t="n">
        <v>3</v>
      </c>
      <c r="I25" s="17" t="n">
        <v>9</v>
      </c>
      <c r="J25" s="17" t="n">
        <v>0</v>
      </c>
    </row>
    <row r="26" customFormat="false" ht="15" hidden="false" customHeight="false" outlineLevel="0" collapsed="false">
      <c r="A26" s="17" t="s">
        <v>73</v>
      </c>
      <c r="B26" s="17" t="s">
        <v>175</v>
      </c>
      <c r="C26" s="17" t="n">
        <v>4</v>
      </c>
      <c r="D26" s="17" t="n">
        <v>28</v>
      </c>
      <c r="E26" s="17" t="n">
        <v>256.9</v>
      </c>
      <c r="F26" s="17" t="n">
        <v>26.46</v>
      </c>
      <c r="G26" s="17" t="s">
        <v>9</v>
      </c>
      <c r="H26" s="17" t="n">
        <v>2</v>
      </c>
      <c r="I26" s="17" t="n">
        <v>16</v>
      </c>
      <c r="J26" s="17" t="n">
        <v>0</v>
      </c>
    </row>
    <row r="27" customFormat="false" ht="15" hidden="false" customHeight="false" outlineLevel="0" collapsed="false">
      <c r="A27" s="17" t="s">
        <v>53</v>
      </c>
      <c r="B27" s="17" t="s">
        <v>175</v>
      </c>
      <c r="C27" s="17" t="n">
        <v>4</v>
      </c>
      <c r="D27" s="17" t="n">
        <v>29</v>
      </c>
      <c r="E27" s="17" t="n">
        <v>116.48</v>
      </c>
      <c r="F27" s="17" t="n">
        <v>28.69</v>
      </c>
      <c r="G27" s="17" t="s">
        <v>9</v>
      </c>
      <c r="H27" s="17" t="n">
        <v>2</v>
      </c>
      <c r="I27" s="17" t="n">
        <v>18</v>
      </c>
      <c r="J27" s="17" t="n">
        <v>0</v>
      </c>
    </row>
    <row r="28" customFormat="false" ht="15" hidden="false" customHeight="false" outlineLevel="0" collapsed="false">
      <c r="A28" s="17" t="s">
        <v>20</v>
      </c>
      <c r="B28" s="17" t="s">
        <v>174</v>
      </c>
      <c r="C28" s="17" t="n">
        <v>3</v>
      </c>
      <c r="D28" s="17" t="n">
        <v>30</v>
      </c>
      <c r="E28" s="17" t="n">
        <v>198.65</v>
      </c>
      <c r="F28" s="17" t="n">
        <v>26.42</v>
      </c>
      <c r="G28" s="17" t="s">
        <v>9</v>
      </c>
      <c r="H28" s="17" t="n">
        <v>2</v>
      </c>
      <c r="I28" s="17" t="n">
        <v>0</v>
      </c>
      <c r="J28" s="17" t="n">
        <v>1</v>
      </c>
    </row>
    <row r="29" customFormat="false" ht="15" hidden="false" customHeight="false" outlineLevel="0" collapsed="false">
      <c r="A29" s="17" t="s">
        <v>69</v>
      </c>
      <c r="B29" s="17" t="s">
        <v>177</v>
      </c>
      <c r="C29" s="17" t="n">
        <v>6</v>
      </c>
      <c r="D29" s="17" t="n">
        <v>31</v>
      </c>
      <c r="E29" s="17" t="n">
        <v>589.9</v>
      </c>
      <c r="F29" s="17" t="n">
        <v>26.35</v>
      </c>
      <c r="G29" s="17" t="s">
        <v>99</v>
      </c>
      <c r="H29" s="17" t="n">
        <v>3</v>
      </c>
      <c r="I29" s="17" t="n">
        <v>32</v>
      </c>
      <c r="J29" s="17" t="n">
        <v>0</v>
      </c>
    </row>
    <row r="30" customFormat="false" ht="15" hidden="false" customHeight="false" outlineLevel="0" collapsed="false">
      <c r="A30" s="17" t="s">
        <v>42</v>
      </c>
      <c r="B30" s="17" t="s">
        <v>175</v>
      </c>
      <c r="C30" s="17" t="n">
        <v>4</v>
      </c>
      <c r="D30" s="17" t="n">
        <v>33</v>
      </c>
      <c r="E30" s="17" t="n">
        <v>522.1</v>
      </c>
      <c r="F30" s="17" t="n">
        <v>25.35</v>
      </c>
      <c r="G30" s="17" t="s">
        <v>9</v>
      </c>
      <c r="H30" s="17" t="n">
        <v>2</v>
      </c>
      <c r="I30" s="17" t="n">
        <v>25</v>
      </c>
      <c r="J30" s="17" t="n">
        <v>0</v>
      </c>
    </row>
    <row r="31" customFormat="false" ht="15" hidden="false" customHeight="false" outlineLevel="0" collapsed="false">
      <c r="A31" s="17" t="s">
        <v>86</v>
      </c>
      <c r="B31" s="17" t="s">
        <v>174</v>
      </c>
      <c r="C31" s="17" t="n">
        <v>3</v>
      </c>
      <c r="D31" s="17" t="n">
        <v>34</v>
      </c>
      <c r="E31" s="17" t="n">
        <v>34.55</v>
      </c>
      <c r="F31" s="17" t="n">
        <v>30</v>
      </c>
      <c r="G31" s="17" t="s">
        <v>9</v>
      </c>
      <c r="H31" s="17" t="n">
        <v>2</v>
      </c>
      <c r="I31" s="17" t="n">
        <v>5</v>
      </c>
      <c r="J31" s="17" t="n">
        <v>0</v>
      </c>
    </row>
    <row r="32" customFormat="false" ht="15" hidden="false" customHeight="false" outlineLevel="0" collapsed="false">
      <c r="A32" s="17" t="s">
        <v>48</v>
      </c>
      <c r="B32" s="17" t="s">
        <v>177</v>
      </c>
      <c r="C32" s="17" t="n">
        <v>6</v>
      </c>
      <c r="D32" s="17" t="n">
        <v>38</v>
      </c>
      <c r="E32" s="17" t="n">
        <v>406.08</v>
      </c>
      <c r="F32" s="17" t="n">
        <v>27</v>
      </c>
      <c r="G32" s="17" t="s">
        <v>322</v>
      </c>
      <c r="H32" s="17" t="n">
        <v>7</v>
      </c>
      <c r="I32" s="17" t="n">
        <v>-5</v>
      </c>
      <c r="J32" s="17" t="n">
        <v>0</v>
      </c>
    </row>
    <row r="33" customFormat="false" ht="15" hidden="false" customHeight="false" outlineLevel="0" collapsed="false">
      <c r="A33" s="17" t="s">
        <v>16</v>
      </c>
      <c r="B33" s="17" t="s">
        <v>177</v>
      </c>
      <c r="C33" s="17" t="n">
        <v>6</v>
      </c>
      <c r="D33" s="17" t="n">
        <v>40</v>
      </c>
      <c r="E33" s="17" t="n">
        <v>188.18</v>
      </c>
      <c r="F33" s="17" t="n">
        <v>27.23</v>
      </c>
      <c r="G33" s="17" t="s">
        <v>322</v>
      </c>
      <c r="H33" s="17" t="n">
        <v>7</v>
      </c>
      <c r="I33" s="17" t="n">
        <v>10</v>
      </c>
      <c r="J33" s="17" t="n">
        <v>0</v>
      </c>
    </row>
    <row r="34" customFormat="false" ht="15" hidden="false" customHeight="false" outlineLevel="0" collapsed="false">
      <c r="A34" s="17" t="s">
        <v>35</v>
      </c>
      <c r="B34" s="17" t="s">
        <v>178</v>
      </c>
      <c r="C34" s="17" t="n">
        <v>5</v>
      </c>
      <c r="D34" s="17" t="n">
        <v>41</v>
      </c>
      <c r="E34" s="17" t="n">
        <v>153.65</v>
      </c>
      <c r="F34" s="17" t="n">
        <v>28.54</v>
      </c>
      <c r="G34" s="17" t="s">
        <v>99</v>
      </c>
      <c r="H34" s="17" t="n">
        <v>3</v>
      </c>
      <c r="I34" s="17" t="n">
        <v>4</v>
      </c>
      <c r="J34" s="17" t="n">
        <v>0</v>
      </c>
    </row>
    <row r="35" customFormat="false" ht="15" hidden="false" customHeight="false" outlineLevel="0" collapsed="false">
      <c r="A35" s="17" t="s">
        <v>31</v>
      </c>
      <c r="B35" s="17" t="s">
        <v>177</v>
      </c>
      <c r="C35" s="17" t="n">
        <v>6</v>
      </c>
      <c r="D35" s="17" t="n">
        <v>42</v>
      </c>
      <c r="E35" s="17" t="n">
        <v>170.25</v>
      </c>
      <c r="F35" s="17" t="n">
        <v>28.73</v>
      </c>
      <c r="G35" s="17" t="s">
        <v>9</v>
      </c>
      <c r="H35" s="17" t="n">
        <v>2</v>
      </c>
      <c r="I35" s="17" t="n">
        <v>6</v>
      </c>
      <c r="J35" s="17" t="n">
        <v>0</v>
      </c>
    </row>
    <row r="36" customFormat="false" ht="15" hidden="false" customHeight="false" outlineLevel="0" collapsed="false">
      <c r="A36" s="17" t="s">
        <v>49</v>
      </c>
      <c r="B36" s="17" t="s">
        <v>175</v>
      </c>
      <c r="C36" s="17" t="n">
        <v>4</v>
      </c>
      <c r="D36" s="17" t="n">
        <v>45</v>
      </c>
      <c r="E36" s="17" t="n">
        <v>69.95</v>
      </c>
      <c r="F36" s="17" t="n">
        <v>26.15</v>
      </c>
      <c r="G36" s="17" t="s">
        <v>9</v>
      </c>
      <c r="H36" s="17" t="n">
        <v>2</v>
      </c>
      <c r="I36" s="17" t="n">
        <v>22</v>
      </c>
      <c r="J36" s="17" t="n">
        <v>0</v>
      </c>
    </row>
    <row r="37" customFormat="false" ht="15" hidden="false" customHeight="false" outlineLevel="0" collapsed="false">
      <c r="A37" s="17" t="s">
        <v>79</v>
      </c>
      <c r="B37" s="17" t="s">
        <v>175</v>
      </c>
      <c r="C37" s="17" t="n">
        <v>4</v>
      </c>
      <c r="D37" s="17" t="n">
        <v>46</v>
      </c>
      <c r="E37" s="17" t="n">
        <v>143.9</v>
      </c>
      <c r="F37" s="17" t="n">
        <v>28.5</v>
      </c>
      <c r="G37" s="17" t="s">
        <v>9</v>
      </c>
      <c r="H37" s="17" t="n">
        <v>2</v>
      </c>
      <c r="I37" s="17" t="n">
        <v>7</v>
      </c>
      <c r="J37" s="17" t="n">
        <v>0</v>
      </c>
    </row>
    <row r="38" customFormat="false" ht="15" hidden="false" customHeight="false" outlineLevel="0" collapsed="false">
      <c r="A38" s="17" t="s">
        <v>80</v>
      </c>
      <c r="B38" s="17" t="s">
        <v>176</v>
      </c>
      <c r="C38" s="17" t="n">
        <v>2</v>
      </c>
      <c r="D38" s="17" t="n">
        <v>50</v>
      </c>
      <c r="E38" s="17" t="n">
        <v>85.33</v>
      </c>
      <c r="F38" s="17" t="n">
        <v>27.96</v>
      </c>
      <c r="G38" s="17" t="s">
        <v>323</v>
      </c>
      <c r="H38" s="17" t="n">
        <v>1</v>
      </c>
      <c r="I38" s="17" t="n">
        <v>7</v>
      </c>
      <c r="J38" s="17" t="n">
        <v>0</v>
      </c>
    </row>
    <row r="39" customFormat="false" ht="15" hidden="false" customHeight="false" outlineLevel="0" collapsed="false">
      <c r="A39" s="17" t="s">
        <v>23</v>
      </c>
      <c r="B39" s="17" t="s">
        <v>176</v>
      </c>
      <c r="C39" s="17" t="n">
        <v>2</v>
      </c>
      <c r="D39" s="17" t="n">
        <v>56</v>
      </c>
      <c r="E39" s="17" t="n">
        <v>19.93</v>
      </c>
      <c r="F39" s="17" t="n">
        <v>28.92</v>
      </c>
      <c r="G39" s="17" t="s">
        <v>9</v>
      </c>
      <c r="H39" s="17" t="n">
        <v>2</v>
      </c>
      <c r="I39" s="17" t="n">
        <v>-6</v>
      </c>
      <c r="J39" s="17" t="n">
        <v>0</v>
      </c>
    </row>
    <row r="40" customFormat="false" ht="15" hidden="false" customHeight="false" outlineLevel="0" collapsed="false">
      <c r="A40" s="17" t="s">
        <v>68</v>
      </c>
      <c r="B40" s="17" t="s">
        <v>176</v>
      </c>
      <c r="C40" s="17" t="n">
        <v>2</v>
      </c>
      <c r="D40" s="17" t="n">
        <v>57</v>
      </c>
      <c r="E40" s="17" t="n">
        <v>21.2</v>
      </c>
      <c r="F40" s="17" t="n">
        <v>26.65</v>
      </c>
      <c r="G40" s="17" t="s">
        <v>9</v>
      </c>
      <c r="H40" s="17" t="n">
        <v>2</v>
      </c>
      <c r="I40" s="17" t="n">
        <v>4</v>
      </c>
      <c r="J40" s="17" t="n">
        <v>0</v>
      </c>
    </row>
    <row r="41" customFormat="false" ht="15" hidden="false" customHeight="false" outlineLevel="0" collapsed="false">
      <c r="A41" s="17" t="s">
        <v>13</v>
      </c>
      <c r="B41" s="17" t="s">
        <v>175</v>
      </c>
      <c r="C41" s="17" t="n">
        <v>4</v>
      </c>
      <c r="D41" s="17" t="n">
        <v>60</v>
      </c>
      <c r="E41" s="17" t="n">
        <v>49.25</v>
      </c>
      <c r="F41" s="17" t="n">
        <v>26.35</v>
      </c>
      <c r="G41" s="17" t="s">
        <v>9</v>
      </c>
      <c r="H41" s="17" t="n">
        <v>2</v>
      </c>
      <c r="I41" s="17" t="n">
        <v>6</v>
      </c>
      <c r="J41" s="17" t="n">
        <v>0</v>
      </c>
    </row>
    <row r="42" customFormat="false" ht="15" hidden="false" customHeight="false" outlineLevel="0" collapsed="false">
      <c r="A42" s="17" t="s">
        <v>61</v>
      </c>
      <c r="B42" s="17" t="s">
        <v>176</v>
      </c>
      <c r="C42" s="17" t="n">
        <v>2</v>
      </c>
      <c r="D42" s="17" t="n">
        <v>61</v>
      </c>
      <c r="E42" s="17" t="n">
        <v>40.68</v>
      </c>
      <c r="F42" s="17" t="n">
        <v>27.96</v>
      </c>
      <c r="G42" s="17" t="s">
        <v>99</v>
      </c>
      <c r="H42" s="17" t="n">
        <v>3</v>
      </c>
      <c r="I42" s="17" t="n">
        <v>0</v>
      </c>
      <c r="J42" s="17" t="n">
        <v>0</v>
      </c>
    </row>
    <row r="43" customFormat="false" ht="15" hidden="false" customHeight="false" outlineLevel="0" collapsed="false">
      <c r="A43" s="17" t="s">
        <v>75</v>
      </c>
      <c r="B43" s="17" t="s">
        <v>176</v>
      </c>
      <c r="C43" s="17" t="n">
        <v>2</v>
      </c>
      <c r="D43" s="17" t="n">
        <v>63</v>
      </c>
      <c r="E43" s="17" t="n">
        <v>20.3</v>
      </c>
      <c r="F43" s="17" t="n">
        <v>28.08</v>
      </c>
      <c r="G43" s="17" t="s">
        <v>323</v>
      </c>
      <c r="H43" s="17" t="n">
        <v>1</v>
      </c>
      <c r="I43" s="17" t="n">
        <v>8</v>
      </c>
      <c r="J43" s="17" t="n">
        <v>0</v>
      </c>
    </row>
    <row r="44" customFormat="false" ht="15" hidden="false" customHeight="false" outlineLevel="0" collapsed="false">
      <c r="A44" s="17" t="s">
        <v>21</v>
      </c>
      <c r="B44" s="17" t="s">
        <v>177</v>
      </c>
      <c r="C44" s="17" t="n">
        <v>6</v>
      </c>
      <c r="D44" s="17" t="n">
        <v>64</v>
      </c>
      <c r="E44" s="17" t="n">
        <v>146.4</v>
      </c>
      <c r="F44" s="17" t="n">
        <v>25.92</v>
      </c>
      <c r="G44" s="17" t="s">
        <v>9</v>
      </c>
      <c r="H44" s="17" t="n">
        <v>2</v>
      </c>
      <c r="I44" s="17" t="n">
        <v>10</v>
      </c>
      <c r="J44" s="17" t="n">
        <v>0</v>
      </c>
    </row>
    <row r="45" customFormat="false" ht="15" hidden="false" customHeight="false" outlineLevel="0" collapsed="false">
      <c r="A45" s="17" t="s">
        <v>60</v>
      </c>
      <c r="B45" s="17" t="s">
        <v>175</v>
      </c>
      <c r="C45" s="17" t="n">
        <v>4</v>
      </c>
      <c r="D45" s="17" t="n">
        <v>67</v>
      </c>
      <c r="E45" s="17" t="n">
        <v>49.25</v>
      </c>
      <c r="F45" s="17" t="n">
        <v>29.23</v>
      </c>
      <c r="G45" s="17" t="s">
        <v>323</v>
      </c>
      <c r="H45" s="17" t="n">
        <v>1</v>
      </c>
      <c r="I45" s="17" t="n">
        <v>8</v>
      </c>
      <c r="J45" s="17" t="n">
        <v>0</v>
      </c>
    </row>
    <row r="46" customFormat="false" ht="15" hidden="false" customHeight="false" outlineLevel="0" collapsed="false">
      <c r="A46" s="17" t="s">
        <v>85</v>
      </c>
      <c r="B46" s="17" t="s">
        <v>175</v>
      </c>
      <c r="C46" s="17" t="n">
        <v>4</v>
      </c>
      <c r="D46" s="17" t="n">
        <v>73</v>
      </c>
      <c r="E46" s="17" t="n">
        <v>234.5</v>
      </c>
      <c r="F46" s="17" t="n">
        <v>26.42</v>
      </c>
      <c r="G46" s="17" t="s">
        <v>105</v>
      </c>
      <c r="H46" s="17" t="n">
        <v>4</v>
      </c>
      <c r="I46" s="17" t="n">
        <v>17</v>
      </c>
      <c r="J46" s="17" t="n">
        <v>0</v>
      </c>
    </row>
    <row r="47" customFormat="false" ht="15" hidden="false" customHeight="false" outlineLevel="0" collapsed="false">
      <c r="A47" s="17" t="s">
        <v>41</v>
      </c>
      <c r="B47" s="17" t="s">
        <v>174</v>
      </c>
      <c r="C47" s="17" t="n">
        <v>3</v>
      </c>
      <c r="D47" s="17" t="n">
        <v>82</v>
      </c>
      <c r="E47" s="17" t="n">
        <v>25.78</v>
      </c>
      <c r="F47" s="17" t="n">
        <v>27.54</v>
      </c>
      <c r="G47" s="17" t="s">
        <v>323</v>
      </c>
      <c r="H47" s="17" t="n">
        <v>1</v>
      </c>
      <c r="I47" s="17" t="n">
        <v>10</v>
      </c>
      <c r="J47" s="17" t="n">
        <v>0</v>
      </c>
    </row>
    <row r="48" customFormat="false" ht="15" hidden="false" customHeight="false" outlineLevel="0" collapsed="false">
      <c r="A48" s="17" t="s">
        <v>30</v>
      </c>
      <c r="B48" s="17" t="s">
        <v>174</v>
      </c>
      <c r="C48" s="17" t="n">
        <v>3</v>
      </c>
      <c r="D48" s="17" t="n">
        <v>83</v>
      </c>
      <c r="E48" s="17" t="n">
        <v>55.9</v>
      </c>
      <c r="F48" s="17" t="n">
        <v>27.08</v>
      </c>
      <c r="G48" s="17" t="s">
        <v>9</v>
      </c>
      <c r="H48" s="17" t="n">
        <v>2</v>
      </c>
      <c r="I48" s="17" t="n">
        <v>3</v>
      </c>
      <c r="J48" s="17" t="n">
        <v>0</v>
      </c>
    </row>
    <row r="49" customFormat="false" ht="15" hidden="false" customHeight="false" outlineLevel="0" collapsed="false">
      <c r="A49" s="17" t="s">
        <v>55</v>
      </c>
      <c r="B49" s="17" t="s">
        <v>179</v>
      </c>
      <c r="C49" s="17" t="n">
        <v>1</v>
      </c>
      <c r="D49" s="17" t="n">
        <v>85</v>
      </c>
      <c r="E49" s="17" t="n">
        <v>34.45</v>
      </c>
      <c r="F49" s="17" t="n">
        <v>27.62</v>
      </c>
      <c r="G49" s="17" t="s">
        <v>9</v>
      </c>
      <c r="H49" s="17" t="n">
        <v>2</v>
      </c>
      <c r="I49" s="17" t="n">
        <v>18</v>
      </c>
      <c r="J49" s="17" t="n"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10" min="2" style="0" width="10"/>
  </cols>
  <sheetData>
    <row r="1" customFormat="false" ht="17.35" hidden="false" customHeight="false" outlineLevel="0" collapsed="false">
      <c r="A1" s="7" t="s">
        <v>324</v>
      </c>
    </row>
    <row r="2" customFormat="false" ht="15" hidden="false" customHeight="false" outlineLevel="0" collapsed="false">
      <c r="A2" s="19" t="s">
        <v>325</v>
      </c>
    </row>
    <row r="4" customFormat="false" ht="15" hidden="false" customHeight="false" outlineLevel="0" collapsed="false">
      <c r="A4" s="20" t="s">
        <v>326</v>
      </c>
    </row>
    <row r="5" customFormat="false" ht="31.5" hidden="false" customHeight="true" outlineLevel="0" collapsed="false">
      <c r="A5" s="21" t="s">
        <v>327</v>
      </c>
      <c r="B5" s="21"/>
      <c r="C5" s="21"/>
      <c r="D5" s="21"/>
      <c r="E5" s="21"/>
      <c r="F5" s="21"/>
      <c r="G5" s="21"/>
      <c r="H5" s="21"/>
      <c r="I5" s="21"/>
      <c r="J5" s="21"/>
    </row>
    <row r="6" customFormat="false" ht="31.5" hidden="false" customHeight="true" outlineLevel="0" collapsed="false">
      <c r="A6" s="21" t="s">
        <v>328</v>
      </c>
      <c r="B6" s="21"/>
      <c r="C6" s="21"/>
      <c r="D6" s="21"/>
      <c r="E6" s="21"/>
      <c r="F6" s="21"/>
      <c r="G6" s="21"/>
      <c r="H6" s="21"/>
      <c r="I6" s="21"/>
      <c r="J6" s="21"/>
    </row>
    <row r="7" customFormat="false" ht="31.5" hidden="false" customHeight="true" outlineLevel="0" collapsed="false">
      <c r="A7" s="21" t="s">
        <v>329</v>
      </c>
      <c r="B7" s="21"/>
      <c r="C7" s="21"/>
      <c r="D7" s="21"/>
      <c r="E7" s="21"/>
      <c r="F7" s="21"/>
      <c r="G7" s="21"/>
      <c r="H7" s="21"/>
      <c r="I7" s="21"/>
      <c r="J7" s="21"/>
    </row>
    <row r="8" customFormat="false" ht="31.5" hidden="false" customHeight="true" outlineLevel="0" collapsed="false">
      <c r="A8" s="21" t="s">
        <v>330</v>
      </c>
      <c r="B8" s="21"/>
      <c r="C8" s="21"/>
      <c r="D8" s="21"/>
      <c r="E8" s="21"/>
      <c r="F8" s="21"/>
      <c r="G8" s="21"/>
      <c r="H8" s="21"/>
      <c r="I8" s="21"/>
      <c r="J8" s="21"/>
    </row>
    <row r="9" customFormat="false" ht="31.5" hidden="false" customHeight="true" outlineLevel="0" collapsed="false">
      <c r="A9" s="21" t="s">
        <v>331</v>
      </c>
      <c r="B9" s="21"/>
      <c r="C9" s="21"/>
      <c r="D9" s="21"/>
      <c r="E9" s="21"/>
      <c r="F9" s="21"/>
      <c r="G9" s="21"/>
      <c r="H9" s="21"/>
      <c r="I9" s="21"/>
      <c r="J9" s="21"/>
    </row>
    <row r="10" customFormat="false" ht="31.5" hidden="false" customHeight="true" outlineLevel="0" collapsed="false">
      <c r="A10" s="21" t="s">
        <v>332</v>
      </c>
      <c r="B10" s="21"/>
      <c r="C10" s="21"/>
      <c r="D10" s="21"/>
      <c r="E10" s="21"/>
      <c r="F10" s="21"/>
      <c r="G10" s="21"/>
      <c r="H10" s="21"/>
      <c r="I10" s="21"/>
      <c r="J10" s="21"/>
    </row>
    <row r="11" customFormat="false" ht="31.5" hidden="false" customHeight="true" outlineLevel="0" collapsed="false">
      <c r="A11" s="21" t="s">
        <v>333</v>
      </c>
      <c r="B11" s="21"/>
      <c r="C11" s="21"/>
      <c r="D11" s="21"/>
      <c r="E11" s="21"/>
      <c r="F11" s="21"/>
      <c r="G11" s="21"/>
      <c r="H11" s="21"/>
      <c r="I11" s="21"/>
      <c r="J11" s="21"/>
    </row>
    <row r="13" customFormat="false" ht="15" hidden="false" customHeight="false" outlineLevel="0" collapsed="false">
      <c r="A13" s="20" t="s">
        <v>334</v>
      </c>
    </row>
    <row r="14" customFormat="false" ht="15" hidden="false" customHeight="false" outlineLevel="0" collapsed="false">
      <c r="A14" s="22" t="s">
        <v>232</v>
      </c>
      <c r="B14" s="22" t="s">
        <v>335</v>
      </c>
      <c r="C14" s="22" t="s">
        <v>336</v>
      </c>
      <c r="D14" s="22" t="s">
        <v>337</v>
      </c>
      <c r="E14" s="22" t="s">
        <v>338</v>
      </c>
      <c r="F14" s="22" t="s">
        <v>339</v>
      </c>
      <c r="G14" s="22" t="s">
        <v>340</v>
      </c>
      <c r="H14" s="22" t="s">
        <v>341</v>
      </c>
      <c r="I14" s="22" t="s">
        <v>342</v>
      </c>
      <c r="J14" s="22" t="s">
        <v>343</v>
      </c>
    </row>
    <row r="15" customFormat="false" ht="15" hidden="false" customHeight="false" outlineLevel="0" collapsed="false">
      <c r="A15" s="23" t="s">
        <v>151</v>
      </c>
      <c r="B15" s="24" t="n">
        <v>104</v>
      </c>
      <c r="C15" s="24" t="n">
        <v>0.83</v>
      </c>
      <c r="D15" s="24" t="n">
        <v>1.91</v>
      </c>
      <c r="E15" s="24" t="n">
        <v>-4</v>
      </c>
      <c r="F15" s="24" t="n">
        <v>0</v>
      </c>
      <c r="G15" s="24" t="n">
        <v>1</v>
      </c>
      <c r="H15" s="24" t="n">
        <v>2</v>
      </c>
      <c r="I15" s="24" t="n">
        <v>6</v>
      </c>
      <c r="J15" s="24" t="n">
        <v>0</v>
      </c>
    </row>
    <row r="16" customFormat="false" ht="15" hidden="false" customHeight="false" outlineLevel="0" collapsed="false">
      <c r="A16" s="23" t="s">
        <v>152</v>
      </c>
      <c r="B16" s="24" t="n">
        <v>104</v>
      </c>
      <c r="C16" s="24" t="n">
        <v>8.88</v>
      </c>
      <c r="D16" s="24" t="n">
        <v>33.23</v>
      </c>
      <c r="E16" s="24" t="n">
        <v>-76</v>
      </c>
      <c r="F16" s="24" t="n">
        <v>-10.75</v>
      </c>
      <c r="G16" s="24" t="n">
        <v>8.5</v>
      </c>
      <c r="H16" s="24" t="n">
        <v>30</v>
      </c>
      <c r="I16" s="24" t="n">
        <v>77</v>
      </c>
      <c r="J16" s="24" t="n">
        <v>-0.03</v>
      </c>
    </row>
    <row r="17" customFormat="false" ht="15" hidden="false" customHeight="false" outlineLevel="0" collapsed="false">
      <c r="A17" s="23" t="s">
        <v>153</v>
      </c>
      <c r="B17" s="24" t="n">
        <v>104</v>
      </c>
      <c r="C17" s="24" t="n">
        <v>183.77</v>
      </c>
      <c r="D17" s="24" t="n">
        <v>552.68</v>
      </c>
      <c r="E17" s="24" t="n">
        <v>-1325.45</v>
      </c>
      <c r="F17" s="24" t="n">
        <v>-141.42</v>
      </c>
      <c r="G17" s="24" t="n">
        <v>146</v>
      </c>
      <c r="H17" s="24" t="n">
        <v>481.21</v>
      </c>
      <c r="I17" s="24" t="n">
        <v>1498.8</v>
      </c>
      <c r="J17" s="24" t="n">
        <v>0.06</v>
      </c>
    </row>
    <row r="18" customFormat="false" ht="15" hidden="false" customHeight="false" outlineLevel="0" collapsed="false">
      <c r="A18" s="23" t="s">
        <v>154</v>
      </c>
      <c r="B18" s="24" t="n">
        <v>104</v>
      </c>
      <c r="C18" s="24" t="n">
        <v>-0.01</v>
      </c>
      <c r="D18" s="24" t="n">
        <v>1.49</v>
      </c>
      <c r="E18" s="24" t="n">
        <v>-3.58</v>
      </c>
      <c r="F18" s="24" t="n">
        <v>-1.11</v>
      </c>
      <c r="G18" s="24" t="n">
        <v>0.02</v>
      </c>
      <c r="H18" s="24" t="n">
        <v>1.02</v>
      </c>
      <c r="I18" s="24" t="n">
        <v>3.38</v>
      </c>
      <c r="J18" s="24" t="n">
        <v>-0.02</v>
      </c>
    </row>
    <row r="19" customFormat="false" ht="15" hidden="false" customHeight="false" outlineLevel="0" collapsed="false">
      <c r="A19" s="23" t="s">
        <v>155</v>
      </c>
      <c r="B19" s="24" t="n">
        <v>104</v>
      </c>
      <c r="C19" s="24" t="n">
        <v>0.97</v>
      </c>
      <c r="D19" s="24" t="n">
        <v>3.42</v>
      </c>
      <c r="E19" s="24" t="n">
        <v>-7</v>
      </c>
      <c r="F19" s="24" t="n">
        <v>-1</v>
      </c>
      <c r="G19" s="24" t="n">
        <v>1</v>
      </c>
      <c r="H19" s="24" t="n">
        <v>4</v>
      </c>
      <c r="I19" s="24" t="n">
        <v>7</v>
      </c>
      <c r="J19" s="24" t="n">
        <v>-0.25</v>
      </c>
    </row>
    <row r="20" customFormat="false" ht="15" hidden="false" customHeight="false" outlineLevel="0" collapsed="false">
      <c r="A20" s="23" t="s">
        <v>156</v>
      </c>
      <c r="B20" s="24" t="n">
        <v>104</v>
      </c>
      <c r="C20" s="24" t="n">
        <v>1.31</v>
      </c>
      <c r="D20" s="24" t="n">
        <v>11.35</v>
      </c>
      <c r="E20" s="24" t="n">
        <v>-28</v>
      </c>
      <c r="F20" s="24" t="n">
        <v>-7</v>
      </c>
      <c r="G20" s="24" t="n">
        <v>2</v>
      </c>
      <c r="H20" s="24" t="n">
        <v>8</v>
      </c>
      <c r="I20" s="24" t="n">
        <v>32</v>
      </c>
      <c r="J20" s="24" t="n">
        <v>0.11</v>
      </c>
    </row>
    <row r="21" customFormat="false" ht="15" hidden="false" customHeight="false" outlineLevel="0" collapsed="false">
      <c r="A21" s="23" t="s">
        <v>157</v>
      </c>
      <c r="B21" s="24" t="n">
        <v>104</v>
      </c>
      <c r="C21" s="24" t="n">
        <v>0.03</v>
      </c>
      <c r="D21" s="24" t="n">
        <v>0.38</v>
      </c>
      <c r="E21" s="24" t="n">
        <v>-1</v>
      </c>
      <c r="F21" s="24" t="n">
        <v>0</v>
      </c>
      <c r="G21" s="24" t="n">
        <v>0</v>
      </c>
      <c r="H21" s="24" t="n">
        <v>0</v>
      </c>
      <c r="I21" s="24" t="n">
        <v>1</v>
      </c>
      <c r="J21" s="24" t="n">
        <v>0.31</v>
      </c>
    </row>
    <row r="22" customFormat="false" ht="15" hidden="false" customHeight="false" outlineLevel="0" collapsed="false">
      <c r="A22" s="23" t="s">
        <v>158</v>
      </c>
      <c r="B22" s="24" t="n">
        <v>104</v>
      </c>
      <c r="C22" s="24" t="n">
        <v>0.45</v>
      </c>
      <c r="D22" s="24" t="n">
        <v>2.21</v>
      </c>
      <c r="E22" s="24" t="n">
        <v>-5</v>
      </c>
      <c r="F22" s="24" t="n">
        <v>-1</v>
      </c>
      <c r="G22" s="24" t="n">
        <v>1</v>
      </c>
      <c r="H22" s="24" t="n">
        <v>2</v>
      </c>
      <c r="I22" s="24" t="n">
        <v>4</v>
      </c>
      <c r="J22" s="24" t="n">
        <v>-0.51</v>
      </c>
    </row>
    <row r="23" customFormat="false" ht="15" hidden="false" customHeight="false" outlineLevel="0" collapsed="false">
      <c r="A23" s="23" t="s">
        <v>159</v>
      </c>
      <c r="B23" s="24" t="n">
        <v>104</v>
      </c>
      <c r="C23" s="24" t="n">
        <v>-0.09</v>
      </c>
      <c r="D23" s="24" t="n">
        <v>0.76</v>
      </c>
      <c r="E23" s="24" t="n">
        <v>-2</v>
      </c>
      <c r="F23" s="24" t="n">
        <v>0</v>
      </c>
      <c r="G23" s="24" t="n">
        <v>0</v>
      </c>
      <c r="H23" s="24" t="n">
        <v>0</v>
      </c>
      <c r="I23" s="24" t="n">
        <v>3</v>
      </c>
      <c r="J23" s="24" t="n">
        <v>0.41</v>
      </c>
    </row>
    <row r="25" customFormat="false" ht="15" hidden="false" customHeight="false" outlineLevel="0" collapsed="false">
      <c r="A25" s="20" t="s">
        <v>344</v>
      </c>
    </row>
  </sheetData>
  <mergeCells count="7">
    <mergeCell ref="A5:J5"/>
    <mergeCell ref="A6:J6"/>
    <mergeCell ref="A7:J7"/>
    <mergeCell ref="A8:J8"/>
    <mergeCell ref="A9:J9"/>
    <mergeCell ref="A10:J10"/>
    <mergeCell ref="A11:J1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2026-10-07T03:56:55Z</dcterms:created>
  <dc:creator>openpyxl</dc:creator>
  <dc:description/>
  <dc:language>en-US</dc:language>
  <cp:lastModifiedBy/>
  <dcterms:modified xsi:type="dcterms:W3CDTF">2026-10-07T03:56:57Z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